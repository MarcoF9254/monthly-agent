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hyw-nas\server\月刊\2025年\11月\"/>
    </mc:Choice>
  </mc:AlternateContent>
  <xr:revisionPtr revIDLastSave="0" documentId="13_ncr:1_{2D6F4753-58AF-4FBA-9FA4-45350AB82563}" xr6:coauthVersionLast="47" xr6:coauthVersionMax="47" xr10:uidLastSave="{00000000-0000-0000-0000-000000000000}"/>
  <bookViews>
    <workbookView xWindow="-120" yWindow="-120" windowWidth="29040" windowHeight="15720" tabRatio="602" xr2:uid="{00000000-000D-0000-FFFF-FFFF00000000}"/>
  </bookViews>
  <sheets>
    <sheet name="Final (3)" sheetId="6" r:id="rId1"/>
    <sheet name="Final (2)" sheetId="5" r:id="rId2"/>
  </sheets>
  <definedNames>
    <definedName name="_xlnm.Print_Area" localSheetId="1">'Final (2)'!$A$1:$X$41</definedName>
    <definedName name="_xlnm.Print_Area" localSheetId="0">'Final (3)'!$A$1:$AD$54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43" i="6" l="1"/>
  <c r="AC43" i="6"/>
  <c r="S43" i="6"/>
  <c r="N43" i="6"/>
  <c r="I43" i="6"/>
  <c r="AD43" i="6"/>
  <c r="Z43" i="6"/>
  <c r="AC32" i="6" l="1"/>
  <c r="X32" i="6"/>
  <c r="S32" i="6"/>
  <c r="N32" i="6"/>
  <c r="I32" i="6"/>
  <c r="AC21" i="6"/>
  <c r="X21" i="6"/>
  <c r="S21" i="6"/>
  <c r="N21" i="6"/>
  <c r="I21" i="6"/>
  <c r="AC10" i="6"/>
  <c r="X10" i="6"/>
  <c r="S10" i="6"/>
  <c r="N10" i="6"/>
  <c r="B10" i="6"/>
  <c r="G10" i="6" s="1"/>
  <c r="L10" i="6" s="1"/>
  <c r="Q10" i="6" s="1"/>
  <c r="V10" i="6" s="1"/>
  <c r="AA10" i="6" s="1"/>
  <c r="B21" i="6" s="1"/>
  <c r="G21" i="6" s="1"/>
  <c r="L21" i="6" s="1"/>
  <c r="Q21" i="6" s="1"/>
  <c r="V21" i="6" s="1"/>
  <c r="AA21" i="6" s="1"/>
  <c r="B32" i="6" s="1"/>
  <c r="G32" i="6" s="1"/>
  <c r="L32" i="6" s="1"/>
  <c r="Q32" i="6" s="1"/>
  <c r="V32" i="6" s="1"/>
  <c r="AA32" i="6" s="1"/>
  <c r="Z10" i="6"/>
  <c r="AD10" i="6"/>
  <c r="F32" i="6"/>
  <c r="U10" i="6"/>
  <c r="AD2" i="6"/>
  <c r="F43" i="6"/>
  <c r="K21" i="6"/>
  <c r="F10" i="6"/>
  <c r="U21" i="6"/>
  <c r="P32" i="6"/>
  <c r="K43" i="6"/>
  <c r="AD21" i="6"/>
  <c r="Z21" i="6"/>
  <c r="AD32" i="6"/>
  <c r="P21" i="6"/>
  <c r="K32" i="6"/>
  <c r="U32" i="6"/>
  <c r="F21" i="6"/>
  <c r="P10" i="6"/>
  <c r="Z32" i="6"/>
  <c r="F2" i="5" l="1"/>
  <c r="J2" i="5" s="1"/>
  <c r="N2" i="5" s="1"/>
  <c r="R2" i="5" s="1"/>
  <c r="V2" i="5" s="1"/>
  <c r="B10" i="5" s="1"/>
  <c r="F10" i="5" s="1"/>
  <c r="J10" i="5" s="1"/>
  <c r="N10" i="5" s="1"/>
  <c r="R10" i="5" s="1"/>
  <c r="V10" i="5" s="1"/>
  <c r="B18" i="5" s="1"/>
  <c r="F18" i="5" s="1"/>
  <c r="J18" i="5" s="1"/>
  <c r="N18" i="5" s="1"/>
  <c r="R18" i="5" s="1"/>
  <c r="V18" i="5" s="1"/>
  <c r="B26" i="5" s="1"/>
  <c r="F26" i="5" s="1"/>
  <c r="J26" i="5" s="1"/>
  <c r="N26" i="5" s="1"/>
  <c r="R26" i="5" s="1"/>
  <c r="V26" i="5" s="1"/>
  <c r="B34" i="5" s="1"/>
  <c r="F34" i="5" s="1"/>
  <c r="J34" i="5" s="1"/>
  <c r="O2" i="5"/>
  <c r="W2" i="5" s="1"/>
  <c r="G34" i="5"/>
  <c r="W26" i="5"/>
  <c r="S26" i="5"/>
  <c r="O26" i="5"/>
  <c r="K26" i="5"/>
  <c r="G26" i="5"/>
  <c r="W18" i="5"/>
  <c r="S18" i="5"/>
  <c r="O18" i="5"/>
  <c r="K18" i="5"/>
  <c r="G18" i="5"/>
  <c r="W10" i="5"/>
  <c r="S10" i="5"/>
  <c r="O10" i="5"/>
  <c r="K10" i="5"/>
  <c r="G10" i="5"/>
  <c r="Q26" i="5"/>
  <c r="E18" i="5"/>
  <c r="X10" i="5"/>
  <c r="I26" i="5"/>
  <c r="E26" i="5"/>
  <c r="M18" i="5"/>
  <c r="X18" i="5"/>
  <c r="U18" i="5"/>
  <c r="U10" i="5"/>
  <c r="X26" i="5"/>
  <c r="I10" i="5"/>
  <c r="M10" i="5"/>
  <c r="Q10" i="5"/>
  <c r="U26" i="5"/>
  <c r="Q2" i="5"/>
  <c r="E34" i="5"/>
  <c r="U2" i="5"/>
  <c r="I18" i="5"/>
  <c r="X2" i="5"/>
  <c r="L34" i="5"/>
  <c r="I2" i="5"/>
  <c r="M2" i="5"/>
  <c r="M26" i="5"/>
  <c r="Q18" i="5"/>
  <c r="E10" i="5"/>
  <c r="E2" i="5"/>
  <c r="I34" i="5"/>
  <c r="P43" i="6"/>
  <c r="S2" i="5" l="1"/>
  <c r="U43" i="6"/>
</calcChain>
</file>

<file path=xl/sharedStrings.xml><?xml version="1.0" encoding="utf-8"?>
<sst xmlns="http://schemas.openxmlformats.org/spreadsheetml/2006/main" count="334" uniqueCount="215">
  <si>
    <t>星期二</t>
  </si>
  <si>
    <t>星期三</t>
  </si>
  <si>
    <t>星期四</t>
  </si>
  <si>
    <t>星期五</t>
  </si>
  <si>
    <t>星期六</t>
  </si>
  <si>
    <t>下午休息</t>
    <phoneticPr fontId="1" type="noConversion"/>
  </si>
  <si>
    <t>義工會</t>
    <phoneticPr fontId="1" type="noConversion"/>
  </si>
  <si>
    <t>星期一</t>
    <phoneticPr fontId="1" type="noConversion"/>
  </si>
  <si>
    <t>會員代表委員會</t>
    <phoneticPr fontId="1" type="noConversion"/>
  </si>
  <si>
    <t>港九街坊婦女會曾許玉環樂齡鄰舍中心</t>
    <phoneticPr fontId="1" type="noConversion"/>
  </si>
  <si>
    <t>量血壓服務</t>
    <phoneticPr fontId="1" type="noConversion"/>
  </si>
  <si>
    <t>織福兵團</t>
    <phoneticPr fontId="1" type="noConversion"/>
  </si>
  <si>
    <t>眼明手快</t>
    <phoneticPr fontId="1" type="noConversion"/>
  </si>
  <si>
    <t>愛心午餐服務</t>
    <phoneticPr fontId="1" type="noConversion"/>
  </si>
  <si>
    <t>職員會</t>
    <phoneticPr fontId="1" type="noConversion"/>
  </si>
  <si>
    <t>＊</t>
    <phoneticPr fontId="1" type="noConversion"/>
  </si>
  <si>
    <t>＃</t>
    <phoneticPr fontId="1" type="noConversion"/>
  </si>
  <si>
    <t>12月飛鏢練習場(一)</t>
    <phoneticPr fontId="1" type="noConversion"/>
  </si>
  <si>
    <t>12月飛鏢練習場(二)</t>
    <phoneticPr fontId="1" type="noConversion"/>
  </si>
  <si>
    <t>柏齡健心高鈣奶粉</t>
    <phoneticPr fontId="1" type="noConversion"/>
  </si>
  <si>
    <t>雙效降醇素營養奶粉</t>
    <phoneticPr fontId="1" type="noConversion"/>
  </si>
  <si>
    <t>高鈣健骨低脂奶粉</t>
    <phoneticPr fontId="1" type="noConversion"/>
  </si>
  <si>
    <t>高鈣活關節低脂奶粉</t>
    <phoneticPr fontId="1" type="noConversion"/>
  </si>
  <si>
    <t>三效高鈣奶粉</t>
    <phoneticPr fontId="1" type="noConversion"/>
  </si>
  <si>
    <t>快樂懷舊估歌仔(一)</t>
    <phoneticPr fontId="1" type="noConversion"/>
  </si>
  <si>
    <t>護老專門店：佳膳</t>
    <phoneticPr fontId="1" type="noConversion"/>
  </si>
  <si>
    <r>
      <rPr>
        <sz val="14"/>
        <rFont val="新細明體"/>
        <family val="1"/>
        <charset val="136"/>
      </rPr>
      <t>＊時事追撃
＃</t>
    </r>
    <r>
      <rPr>
        <sz val="14"/>
        <rFont val="細明體-ExtB"/>
        <family val="1"/>
        <charset val="136"/>
      </rPr>
      <t>SQS</t>
    </r>
    <r>
      <rPr>
        <sz val="14"/>
        <rFont val="新細明體"/>
        <family val="1"/>
        <charset val="136"/>
      </rPr>
      <t xml:space="preserve">問答遊戲
</t>
    </r>
    <r>
      <rPr>
        <sz val="14"/>
        <rFont val="Wingdings"/>
        <charset val="2"/>
      </rPr>
      <t>J</t>
    </r>
    <r>
      <rPr>
        <sz val="14"/>
        <rFont val="新細明體"/>
        <family val="1"/>
        <charset val="136"/>
      </rPr>
      <t xml:space="preserve">護老家族
</t>
    </r>
    <r>
      <rPr>
        <sz val="14"/>
        <rFont val="源樣黑體 N"/>
        <family val="1"/>
        <charset val="136"/>
      </rPr>
      <t>◆</t>
    </r>
    <r>
      <rPr>
        <sz val="14"/>
        <rFont val="新細明體"/>
        <family val="1"/>
        <charset val="136"/>
      </rPr>
      <t xml:space="preserve">有需要護老者
</t>
    </r>
    <r>
      <rPr>
        <sz val="14"/>
        <rFont val="源樣黑體 N"/>
        <family val="1"/>
        <charset val="136"/>
      </rPr>
      <t>☆</t>
    </r>
    <r>
      <rPr>
        <sz val="14"/>
        <rFont val="新細明體"/>
        <family val="1"/>
        <charset val="136"/>
      </rPr>
      <t xml:space="preserve">腦友天地
</t>
    </r>
    <r>
      <rPr>
        <sz val="14"/>
        <rFont val="源樣黑體 N"/>
        <family val="2"/>
        <charset val="136"/>
      </rPr>
      <t>☀</t>
    </r>
    <r>
      <rPr>
        <sz val="14"/>
        <rFont val="新細明體"/>
        <family val="1"/>
        <charset val="136"/>
      </rPr>
      <t>單身貴族</t>
    </r>
    <phoneticPr fontId="1" type="noConversion"/>
  </si>
  <si>
    <t>saqa</t>
    <phoneticPr fontId="1" type="noConversion"/>
  </si>
  <si>
    <r>
      <rPr>
        <b/>
        <u/>
        <sz val="14"/>
        <rFont val="jf open 粉圓 1.1"/>
        <family val="2"/>
        <charset val="136"/>
      </rPr>
      <t>★早晨包包</t>
    </r>
    <r>
      <rPr>
        <sz val="14"/>
        <rFont val="jf open 粉圓 1.1"/>
        <family val="2"/>
        <charset val="136"/>
      </rPr>
      <t xml:space="preserve">
逢星期一至五
上午10時正至10時30分
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</si>
  <si>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-4</t>
    </r>
    <phoneticPr fontId="1" type="noConversion"/>
  </si>
  <si>
    <t>護老專門店：三花</t>
  </si>
  <si>
    <t>7月</t>
    <phoneticPr fontId="1" type="noConversion"/>
  </si>
  <si>
    <t>防跌健骨飲食要訣</t>
    <phoneticPr fontId="1" type="noConversion"/>
  </si>
  <si>
    <t>認知障礙症 (二) 溝通技巧☆</t>
    <phoneticPr fontId="1" type="noConversion"/>
  </si>
  <si>
    <t>認知障礙症 (三) 生活之道☆</t>
    <phoneticPr fontId="1" type="noConversion"/>
  </si>
  <si>
    <r>
      <t>戰勝情緒病 - 抑鬱症、各類焦慮症</t>
    </r>
    <r>
      <rPr>
        <sz val="11"/>
        <rFont val="Wingdings"/>
        <charset val="2"/>
      </rPr>
      <t>J</t>
    </r>
    <phoneticPr fontId="1" type="noConversion"/>
  </si>
  <si>
    <t>七月一覽表</t>
    <phoneticPr fontId="1" type="noConversion"/>
  </si>
  <si>
    <t>「會員代表委員會」</t>
    <phoneticPr fontId="1" type="noConversion"/>
  </si>
  <si>
    <t>「義工會」</t>
    <phoneticPr fontId="1" type="noConversion"/>
  </si>
  <si>
    <t>7月美食茶餐廳</t>
    <phoneticPr fontId="1" type="noConversion"/>
  </si>
  <si>
    <t>7月魔力橋練習場</t>
    <phoneticPr fontId="1" type="noConversion"/>
  </si>
  <si>
    <t>動手動腳椅子舞小組-3</t>
    <phoneticPr fontId="1" type="noConversion"/>
  </si>
  <si>
    <t>動手動腳椅子舞小組-4</t>
    <phoneticPr fontId="1" type="noConversion"/>
  </si>
  <si>
    <t>動手動腳椅子舞小組-5</t>
    <phoneticPr fontId="1" type="noConversion"/>
  </si>
  <si>
    <t>動手動腳椅子舞小組-6(完)</t>
    <phoneticPr fontId="1" type="noConversion"/>
  </si>
  <si>
    <t>中心例會(第一場)</t>
  </si>
  <si>
    <t>愛心午餐服務</t>
  </si>
  <si>
    <t>「活動報名」</t>
  </si>
  <si>
    <t>中心例會(第二場)</t>
    <phoneticPr fontId="1" type="noConversion"/>
  </si>
  <si>
    <r>
      <rPr>
        <sz val="12"/>
        <rFont val="Segoe UI Symbol"/>
        <family val="1"/>
      </rPr>
      <t>☀</t>
    </r>
    <r>
      <rPr>
        <sz val="12"/>
        <rFont val="新細明體"/>
        <family val="1"/>
        <charset val="136"/>
      </rPr>
      <t>單身貴族茶聚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</si>
  <si>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-5</t>
    </r>
    <phoneticPr fontId="1" type="noConversion"/>
  </si>
  <si>
    <t>數碼諮詢站</t>
  </si>
  <si>
    <t>快樂懷舊估歌仔</t>
    <phoneticPr fontId="1" type="noConversion"/>
  </si>
  <si>
    <t>彈力橡筋操班-1(新)</t>
    <phoneticPr fontId="1" type="noConversion"/>
  </si>
  <si>
    <t>彈力橡筋操班-2</t>
    <phoneticPr fontId="1" type="noConversion"/>
  </si>
  <si>
    <t>彈力橡筋操班-3</t>
    <phoneticPr fontId="1" type="noConversion"/>
  </si>
  <si>
    <t>彈力橡筋操班-4(完)</t>
    <phoneticPr fontId="1" type="noConversion"/>
  </si>
  <si>
    <t>微信初階工作坊</t>
    <phoneticPr fontId="1" type="noConversion"/>
  </si>
  <si>
    <t>煤氣安全環保講座</t>
    <phoneticPr fontId="1" type="noConversion"/>
  </si>
  <si>
    <t>7月禪繞畫初班-1(新)</t>
    <phoneticPr fontId="1" type="noConversion"/>
  </si>
  <si>
    <t>7月禪繞畫初班-2</t>
    <phoneticPr fontId="1" type="noConversion"/>
  </si>
  <si>
    <t>7月禪繞畫初班-4(完)</t>
    <phoneticPr fontId="1" type="noConversion"/>
  </si>
  <si>
    <t>7月禪繞畫初班-3</t>
    <phoneticPr fontId="1" type="noConversion"/>
  </si>
  <si>
    <t>銀鈴健樂團練習</t>
    <phoneticPr fontId="1" type="noConversion"/>
  </si>
  <si>
    <r>
      <t>行李牌定製之旅</t>
    </r>
    <r>
      <rPr>
        <b/>
        <sz val="12"/>
        <color rgb="FFFFCC00"/>
        <rFont val="Wingdings"/>
        <charset val="2"/>
      </rPr>
      <t>J</t>
    </r>
    <phoneticPr fontId="1" type="noConversion"/>
  </si>
  <si>
    <r>
      <t>護老家族情濃大地遊戲</t>
    </r>
    <r>
      <rPr>
        <b/>
        <sz val="12"/>
        <color rgb="FFFFC000"/>
        <rFont val="Wingdings"/>
        <charset val="2"/>
      </rPr>
      <t>J</t>
    </r>
    <phoneticPr fontId="1" type="noConversion"/>
  </si>
  <si>
    <t>繩結飾物深造班-1(新)</t>
    <phoneticPr fontId="1" type="noConversion"/>
  </si>
  <si>
    <t>繩結飾物深造班-2</t>
    <phoneticPr fontId="1" type="noConversion"/>
  </si>
  <si>
    <t>繩結飾物深造班-3(完)</t>
    <phoneticPr fontId="1" type="noConversion"/>
  </si>
  <si>
    <r>
      <t>集體舞 中班</t>
    </r>
    <r>
      <rPr>
        <sz val="12"/>
        <rFont val="新細明體"/>
        <family val="2"/>
        <charset val="136"/>
      </rPr>
      <t>-1(新)</t>
    </r>
    <phoneticPr fontId="1" type="noConversion"/>
  </si>
  <si>
    <r>
      <t>集體舞 中班</t>
    </r>
    <r>
      <rPr>
        <sz val="12"/>
        <rFont val="新細明體"/>
        <family val="2"/>
        <charset val="136"/>
      </rPr>
      <t>-2</t>
    </r>
    <phoneticPr fontId="1" type="noConversion"/>
  </si>
  <si>
    <r>
      <t>集體舞 中班</t>
    </r>
    <r>
      <rPr>
        <sz val="12"/>
        <rFont val="新細明體"/>
        <family val="2"/>
        <charset val="136"/>
      </rPr>
      <t>-3</t>
    </r>
    <phoneticPr fontId="1" type="noConversion"/>
  </si>
  <si>
    <r>
      <t>集體舞 中班</t>
    </r>
    <r>
      <rPr>
        <sz val="12"/>
        <rFont val="新細明體"/>
        <family val="2"/>
        <charset val="136"/>
      </rPr>
      <t>-4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</si>
  <si>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-4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</si>
  <si>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-3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</si>
  <si>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-2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</si>
  <si>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-1(新)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</si>
  <si>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-1</t>
    </r>
    <r>
      <rPr>
        <sz val="12"/>
        <rFont val="新細明體"/>
        <family val="1"/>
        <charset val="136"/>
      </rPr>
      <t>(新)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</si>
  <si>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-2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</si>
  <si>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-3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</si>
  <si>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-4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</si>
  <si>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-1</t>
    </r>
    <r>
      <rPr>
        <sz val="12"/>
        <rFont val="新細明體"/>
        <family val="1"/>
        <charset val="136"/>
      </rPr>
      <t>(新)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</si>
  <si>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-1(新)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</si>
  <si>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-2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</si>
  <si>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-2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</si>
  <si>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-3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</si>
  <si>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-3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</si>
  <si>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-4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</si>
  <si>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-4</t>
    </r>
    <phoneticPr fontId="1" type="noConversion"/>
  </si>
  <si>
    <t>啞鈴運動班-3(完)</t>
    <phoneticPr fontId="1" type="noConversion"/>
  </si>
  <si>
    <t>啞鈴運動班-2</t>
    <phoneticPr fontId="1" type="noConversion"/>
  </si>
  <si>
    <t>數碼諮詢站</t>
    <phoneticPr fontId="1" type="noConversion"/>
  </si>
  <si>
    <r>
      <t>淺嚐國畫</t>
    </r>
    <r>
      <rPr>
        <sz val="12"/>
        <rFont val="Wingdings"/>
        <charset val="2"/>
      </rPr>
      <t>J</t>
    </r>
    <phoneticPr fontId="1" type="noConversion"/>
  </si>
  <si>
    <t>手機修圖工作坊-1</t>
    <phoneticPr fontId="1" type="noConversion"/>
  </si>
  <si>
    <t>手機修圖工作坊-2(完)</t>
    <phoneticPr fontId="1" type="noConversion"/>
  </si>
  <si>
    <r>
      <rPr>
        <sz val="12"/>
        <rFont val="新細明體"/>
        <family val="1"/>
        <charset val="136"/>
      </rPr>
      <t>健康活力運動班</t>
    </r>
    <r>
      <rPr>
        <sz val="12"/>
        <rFont val="細明體-ExtB"/>
        <family val="1"/>
        <charset val="136"/>
      </rPr>
      <t>-1(</t>
    </r>
    <r>
      <rPr>
        <sz val="12"/>
        <rFont val="新細明體"/>
        <family val="1"/>
        <charset val="136"/>
      </rPr>
      <t>新</t>
    </r>
    <r>
      <rPr>
        <sz val="12"/>
        <rFont val="細明體-ExtB"/>
        <family val="1"/>
        <charset val="136"/>
      </rPr>
      <t>)</t>
    </r>
    <phoneticPr fontId="1" type="noConversion"/>
  </si>
  <si>
    <t>健康活力運動班-2</t>
    <phoneticPr fontId="1" type="noConversion"/>
  </si>
  <si>
    <t>健康活力運動班-3</t>
    <phoneticPr fontId="1" type="noConversion"/>
  </si>
  <si>
    <r>
      <rPr>
        <sz val="12"/>
        <rFont val="新細明體"/>
        <family val="1"/>
        <charset val="136"/>
      </rPr>
      <t>健康活力運動班</t>
    </r>
    <r>
      <rPr>
        <sz val="12"/>
        <rFont val="細明體-ExtB"/>
        <family val="1"/>
        <charset val="136"/>
      </rPr>
      <t>-4</t>
    </r>
    <r>
      <rPr>
        <sz val="12"/>
        <rFont val="細明體-ExtB"/>
        <family val="2"/>
        <charset val="136"/>
      </rPr>
      <t>(</t>
    </r>
    <r>
      <rPr>
        <sz val="12"/>
        <rFont val="新細明體"/>
        <family val="1"/>
        <charset val="136"/>
      </rPr>
      <t>完</t>
    </r>
    <r>
      <rPr>
        <sz val="12"/>
        <rFont val="細明體-ExtB"/>
        <family val="1"/>
        <charset val="136"/>
      </rPr>
      <t>)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</si>
  <si>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-3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</si>
  <si>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-6(完)</t>
    </r>
    <phoneticPr fontId="1" type="noConversion"/>
  </si>
  <si>
    <t>數獨新體驗</t>
    <phoneticPr fontId="1" type="noConversion"/>
  </si>
  <si>
    <t>減壓木棒初體驗</t>
    <phoneticPr fontId="1" type="noConversion"/>
  </si>
  <si>
    <t>芬蘭木柱大挑戰（7月篇）</t>
    <phoneticPr fontId="1" type="noConversion"/>
  </si>
  <si>
    <t>伴樂一族茶聚</t>
    <phoneticPr fontId="1" type="noConversion"/>
  </si>
  <si>
    <t>防騙視伏器應用</t>
    <phoneticPr fontId="1" type="noConversion"/>
  </si>
  <si>
    <r>
      <rPr>
        <b/>
        <sz val="20"/>
        <rFont val="新細明體"/>
        <family val="1"/>
        <charset val="136"/>
      </rPr>
      <t xml:space="preserve">公眾假期
</t>
    </r>
    <r>
      <rPr>
        <b/>
        <sz val="20"/>
        <rFont val="細明體-ExtB"/>
        <family val="1"/>
        <charset val="136"/>
      </rPr>
      <t>(</t>
    </r>
    <r>
      <rPr>
        <b/>
        <sz val="20"/>
        <rFont val="新細明體"/>
        <family val="1"/>
        <charset val="136"/>
      </rPr>
      <t>香港特別行政區成立日</t>
    </r>
    <r>
      <rPr>
        <b/>
        <sz val="20"/>
        <rFont val="細明體-ExtB"/>
        <family val="1"/>
        <charset val="136"/>
      </rPr>
      <t>)</t>
    </r>
    <phoneticPr fontId="1" type="noConversion"/>
  </si>
  <si>
    <t>啞鈴運動班-1(新)</t>
    <phoneticPr fontId="1" type="noConversion"/>
  </si>
  <si>
    <t>織福兵團</t>
  </si>
  <si>
    <t xml:space="preserve"> </t>
  </si>
  <si>
    <t>Ë</t>
    <phoneticPr fontId="1" type="noConversion"/>
  </si>
  <si>
    <t>:</t>
    <phoneticPr fontId="1" type="noConversion"/>
  </si>
  <si>
    <t>☆</t>
    <phoneticPr fontId="1" type="noConversion"/>
  </si>
  <si>
    <t>眼明手快</t>
  </si>
  <si>
    <t>☀</t>
    <phoneticPr fontId="1" type="noConversion"/>
  </si>
  <si>
    <t>護老家族</t>
    <phoneticPr fontId="1" type="noConversion"/>
  </si>
  <si>
    <t>◆</t>
    <phoneticPr fontId="1" type="noConversion"/>
  </si>
  <si>
    <t>有需要護老者</t>
    <phoneticPr fontId="1" type="noConversion"/>
  </si>
  <si>
    <t>腦友天地</t>
    <phoneticPr fontId="1" type="noConversion"/>
  </si>
  <si>
    <t>單身貴族</t>
    <phoneticPr fontId="1" type="noConversion"/>
  </si>
  <si>
    <t>健康活力專區</t>
    <phoneticPr fontId="1" type="noConversion"/>
  </si>
  <si>
    <t>科技新知</t>
    <phoneticPr fontId="1" type="noConversion"/>
  </si>
  <si>
    <t>☘</t>
    <phoneticPr fontId="1" type="noConversion"/>
  </si>
  <si>
    <t>金齡天地</t>
    <phoneticPr fontId="1" type="noConversion"/>
  </si>
  <si>
    <t>「活動報名」</t>
    <phoneticPr fontId="1" type="noConversion"/>
  </si>
  <si>
    <t>★早晨包包
逢星期一至五
上午10時正至10時30分</t>
  </si>
  <si>
    <t>地點：中心活動室</t>
    <phoneticPr fontId="1" type="noConversion"/>
  </si>
  <si>
    <t>J</t>
    <phoneticPr fontId="1" type="noConversion"/>
  </si>
  <si>
    <t>中心例會(第一場)</t>
    <phoneticPr fontId="1" type="noConversion"/>
  </si>
  <si>
    <t>護老專門店： 三花</t>
    <phoneticPr fontId="1" type="noConversion"/>
  </si>
  <si>
    <t>「醒眼視力健康有辦法」講座</t>
    <phoneticPr fontId="1" type="noConversion"/>
  </si>
  <si>
    <t>護老專門店： 佳膳</t>
    <phoneticPr fontId="1" type="noConversion"/>
  </si>
  <si>
    <t>「太極拳運動」</t>
    <phoneticPr fontId="1" type="noConversion"/>
  </si>
  <si>
    <t>「五十肩及退化性手腳關節運動」講座</t>
    <phoneticPr fontId="1" type="noConversion"/>
  </si>
  <si>
    <t>「中風 (三) 物理治療復康篇」講座</t>
    <phoneticPr fontId="1" type="noConversion"/>
  </si>
  <si>
    <t>美食茶餐廳</t>
    <phoneticPr fontId="1" type="noConversion"/>
  </si>
  <si>
    <t>十一月一覽表</t>
    <phoneticPr fontId="1" type="noConversion"/>
  </si>
  <si>
    <t>長者普通話班-5</t>
    <phoneticPr fontId="1" type="noConversion"/>
  </si>
  <si>
    <t>長者普通話班-6</t>
    <phoneticPr fontId="1" type="noConversion"/>
  </si>
  <si>
    <t>長者英語會話班-4</t>
    <phoneticPr fontId="1" type="noConversion"/>
  </si>
  <si>
    <t>長者英語會話班-5</t>
    <phoneticPr fontId="1" type="noConversion"/>
  </si>
  <si>
    <t>彈力橡筋操班-4</t>
    <phoneticPr fontId="1" type="noConversion"/>
  </si>
  <si>
    <t>彈力橡筋操班-5</t>
    <phoneticPr fontId="1" type="noConversion"/>
  </si>
  <si>
    <t>彈力橡筋操班-6</t>
    <phoneticPr fontId="1" type="noConversion"/>
  </si>
  <si>
    <t>彈力橡筋操班-7</t>
    <phoneticPr fontId="1" type="noConversion"/>
  </si>
  <si>
    <t>英文軟筆書法初班-4</t>
    <phoneticPr fontId="1" type="noConversion"/>
  </si>
  <si>
    <t>英文軟筆書法初班-5</t>
    <phoneticPr fontId="1" type="noConversion"/>
  </si>
  <si>
    <t>2025 ｢老有所為活動計劃」頒獎典禮小型聚會</t>
    <phoneticPr fontId="1" type="noConversion"/>
  </si>
  <si>
    <t xml:space="preserve">啞鈴運動班-1(新) </t>
    <phoneticPr fontId="1" type="noConversion"/>
  </si>
  <si>
    <t>啞鈴運動班-3</t>
    <phoneticPr fontId="1" type="noConversion"/>
  </si>
  <si>
    <t>『運動、認知和營養訓練 班』體能運動課-20</t>
    <phoneticPr fontId="1" type="noConversion"/>
  </si>
  <si>
    <t>『運動、認知和營養訓練 班』體能運動課-21</t>
    <phoneticPr fontId="1" type="noConversion"/>
  </si>
  <si>
    <t>『運動、認知和營養訓練班』後測</t>
    <phoneticPr fontId="1" type="noConversion"/>
  </si>
  <si>
    <t>長者普通話班-3</t>
    <phoneticPr fontId="1" type="noConversion"/>
  </si>
  <si>
    <t>長者普通話班-4</t>
    <phoneticPr fontId="1" type="noConversion"/>
  </si>
  <si>
    <t>國畫初班-小品篇-1(新)</t>
    <phoneticPr fontId="1" type="noConversion"/>
  </si>
  <si>
    <t>繩結飾物班-1(新)</t>
    <phoneticPr fontId="1" type="noConversion"/>
  </si>
  <si>
    <t>國畫初班-小品篇-2</t>
    <phoneticPr fontId="1" type="noConversion"/>
  </si>
  <si>
    <t>繩結飾物班-2</t>
    <phoneticPr fontId="1" type="noConversion"/>
  </si>
  <si>
    <t>繩結飾物班-3(完)</t>
    <phoneticPr fontId="1" type="noConversion"/>
  </si>
  <si>
    <t>國畫初班-小品篇-3(完)</t>
    <phoneticPr fontId="1" type="noConversion"/>
  </si>
  <si>
    <t>樂齡慶生辰(7-12月)</t>
    <phoneticPr fontId="1" type="noConversion"/>
  </si>
  <si>
    <t>耆樂齊歡唱</t>
    <phoneticPr fontId="1" type="noConversion"/>
  </si>
  <si>
    <t>DIY鑽石畫</t>
    <phoneticPr fontId="1" type="noConversion"/>
  </si>
  <si>
    <t>全身高效爆汗運動操</t>
    <phoneticPr fontId="1" type="noConversion"/>
  </si>
  <si>
    <t>『運動、認知和營養訓練班』營養課-10(Zoom)</t>
    <phoneticPr fontId="1" type="noConversion"/>
  </si>
  <si>
    <t>『運動、認知和營養訓練班』營養課-11(Zoom)</t>
    <phoneticPr fontId="1" type="noConversion"/>
  </si>
  <si>
    <t>『運動、認知和營養訓練班』營養課-12(Zoom)</t>
    <phoneticPr fontId="1" type="noConversion"/>
  </si>
  <si>
    <t>『運動、認知和營養訓練班』遊戲課-10</t>
    <phoneticPr fontId="1" type="noConversion"/>
  </si>
  <si>
    <t>『運動、認知和營養訓練班』遊戲課-11</t>
    <phoneticPr fontId="1" type="noConversion"/>
  </si>
  <si>
    <t>藥物管理知多d遊戲</t>
    <phoneticPr fontId="1" type="noConversion"/>
  </si>
  <si>
    <t>『認知障礙症確診路線』知多D有獎問答</t>
    <phoneticPr fontId="1" type="noConversion"/>
  </si>
  <si>
    <t>艾草枕DIY(補)</t>
    <phoneticPr fontId="1" type="noConversion"/>
  </si>
  <si>
    <t>職員會</t>
  </si>
  <si>
    <t>動腦樂樂玩</t>
    <phoneticPr fontId="1" type="noConversion"/>
  </si>
  <si>
    <t>飛鏢齊齊玩</t>
    <phoneticPr fontId="1" type="noConversion"/>
  </si>
  <si>
    <t>『運動、認知和營養訓練 班』體能運動課-22</t>
    <phoneticPr fontId="1" type="noConversion"/>
  </si>
  <si>
    <t>Foodlink 關愛派對</t>
    <phoneticPr fontId="1" type="noConversion"/>
  </si>
  <si>
    <t>毛巾操 A班-5</t>
    <phoneticPr fontId="1" type="noConversion"/>
  </si>
  <si>
    <t>活力舞 初班-2</t>
    <phoneticPr fontId="1" type="noConversion"/>
  </si>
  <si>
    <t>活力舞 中班-2</t>
    <phoneticPr fontId="1" type="noConversion"/>
  </si>
  <si>
    <t>和諧粉彩班-3</t>
    <phoneticPr fontId="1" type="noConversion"/>
  </si>
  <si>
    <t>『運動、認知和營養訓練班』遊戲課-12</t>
    <phoneticPr fontId="1" type="noConversion"/>
  </si>
  <si>
    <t>毛巾操 A班-6</t>
    <phoneticPr fontId="1" type="noConversion"/>
  </si>
  <si>
    <t>毛巾操 A班-7</t>
    <phoneticPr fontId="1" type="noConversion"/>
  </si>
  <si>
    <t>毛巾操 A班-8</t>
    <phoneticPr fontId="1" type="noConversion"/>
  </si>
  <si>
    <t>活力舞 初班-4</t>
    <phoneticPr fontId="1" type="noConversion"/>
  </si>
  <si>
    <t>活力舞 中班-4</t>
    <phoneticPr fontId="1" type="noConversion"/>
  </si>
  <si>
    <t>活力舞 初班-3</t>
    <phoneticPr fontId="1" type="noConversion"/>
  </si>
  <si>
    <t>活力舞 中班-3</t>
    <phoneticPr fontId="1" type="noConversion"/>
  </si>
  <si>
    <t>集體舞 中班-6</t>
    <phoneticPr fontId="1" type="noConversion"/>
  </si>
  <si>
    <t>毛巾操 B班-9</t>
    <phoneticPr fontId="1" type="noConversion"/>
  </si>
  <si>
    <t>和諧粉彩班-4(完)</t>
    <phoneticPr fontId="1" type="noConversion"/>
  </si>
  <si>
    <t>毛巾操 B班-6</t>
    <phoneticPr fontId="1" type="noConversion"/>
  </si>
  <si>
    <t>和諧粉彩班-1(新)</t>
    <phoneticPr fontId="1" type="noConversion"/>
  </si>
  <si>
    <t>11月魔力橋練習場</t>
    <phoneticPr fontId="1" type="noConversion"/>
  </si>
  <si>
    <t>護老者療癒DIY小組-1</t>
    <phoneticPr fontId="1" type="noConversion"/>
  </si>
  <si>
    <t>護老者療癒DIY小組-2</t>
    <phoneticPr fontId="1" type="noConversion"/>
  </si>
  <si>
    <t>護老者療癒DIY小組-3</t>
    <phoneticPr fontId="1" type="noConversion"/>
  </si>
  <si>
    <t>護老者療癒DIY小組-4</t>
    <phoneticPr fontId="1" type="noConversion"/>
  </si>
  <si>
    <t>長者椅上操</t>
    <phoneticPr fontId="1" type="noConversion"/>
  </si>
  <si>
    <t>『運動、認知和營養訓練班』體能運動課-23</t>
    <phoneticPr fontId="1" type="noConversion"/>
  </si>
  <si>
    <t>『運動、認知和營養訓練班』體能運動課-24</t>
    <phoneticPr fontId="1" type="noConversion"/>
  </si>
  <si>
    <t>毛巾操 B班-7</t>
    <phoneticPr fontId="1" type="noConversion"/>
  </si>
  <si>
    <t>和諧粉彩班-2</t>
    <phoneticPr fontId="1" type="noConversion"/>
  </si>
  <si>
    <t>集體舞 中班-5</t>
    <phoneticPr fontId="1" type="noConversion"/>
  </si>
  <si>
    <t>集體舞 中班-4</t>
    <phoneticPr fontId="1" type="noConversion"/>
  </si>
  <si>
    <t>暖暖圍巾親手織</t>
    <phoneticPr fontId="1" type="noConversion"/>
  </si>
  <si>
    <t>社區資源知多D</t>
    <phoneticPr fontId="1" type="noConversion"/>
  </si>
  <si>
    <t>旅遊攝影工作坊</t>
    <phoneticPr fontId="1" type="noConversion"/>
  </si>
  <si>
    <t>毛巾操 B班-8</t>
    <phoneticPr fontId="1" type="noConversion"/>
  </si>
  <si>
    <t>『運動、認知和營養訓練 班』體能運動課-19</t>
  </si>
  <si>
    <r>
      <t>11</t>
    </r>
    <r>
      <rPr>
        <b/>
        <sz val="60"/>
        <color theme="1"/>
        <rFont val="新細明體"/>
        <family val="1"/>
        <charset val="136"/>
      </rPr>
      <t>月</t>
    </r>
    <phoneticPr fontId="1" type="noConversion"/>
  </si>
  <si>
    <r>
      <rPr>
        <b/>
        <sz val="20"/>
        <color theme="1"/>
        <rFont val="微軟正黑體"/>
        <family val="2"/>
        <charset val="136"/>
      </rPr>
      <t>11</t>
    </r>
    <r>
      <rPr>
        <b/>
        <sz val="20"/>
        <color theme="1"/>
        <rFont val="新細明體"/>
        <family val="1"/>
        <charset val="136"/>
      </rPr>
      <t>月份例會日期及時間：</t>
    </r>
    <r>
      <rPr>
        <b/>
        <sz val="20"/>
        <color theme="1"/>
        <rFont val="細明體-ExtB"/>
        <family val="1"/>
        <charset val="136"/>
      </rPr>
      <t>11</t>
    </r>
    <r>
      <rPr>
        <b/>
        <sz val="20"/>
        <color theme="1"/>
        <rFont val="新細明體"/>
        <family val="1"/>
        <charset val="136"/>
      </rPr>
      <t>月</t>
    </r>
    <r>
      <rPr>
        <b/>
        <sz val="20"/>
        <color theme="1"/>
        <rFont val="細明體-ExtB"/>
        <family val="1"/>
        <charset val="136"/>
      </rPr>
      <t>25</t>
    </r>
    <r>
      <rPr>
        <b/>
        <sz val="20"/>
        <color theme="1"/>
        <rFont val="新細明體"/>
        <family val="1"/>
        <charset val="136"/>
      </rPr>
      <t>日</t>
    </r>
    <r>
      <rPr>
        <b/>
        <sz val="20"/>
        <color theme="1"/>
        <rFont val="細明體-ExtB"/>
        <family val="1"/>
        <charset val="136"/>
      </rPr>
      <t xml:space="preserve"> </t>
    </r>
    <r>
      <rPr>
        <b/>
        <sz val="20"/>
        <color theme="1"/>
        <rFont val="新細明體"/>
        <family val="1"/>
        <charset val="136"/>
      </rPr>
      <t>上午9時正(第一場)、上午</t>
    </r>
    <r>
      <rPr>
        <b/>
        <sz val="20"/>
        <color theme="1"/>
        <rFont val="細明體-ExtB"/>
        <family val="1"/>
        <charset val="136"/>
      </rPr>
      <t>9</t>
    </r>
    <r>
      <rPr>
        <b/>
        <sz val="20"/>
        <color theme="1"/>
        <rFont val="新細明體"/>
        <family val="1"/>
        <charset val="136"/>
      </rPr>
      <t>時</t>
    </r>
    <r>
      <rPr>
        <b/>
        <sz val="20"/>
        <color theme="1"/>
        <rFont val="細明體-ExtB"/>
        <family val="1"/>
        <charset val="136"/>
      </rPr>
      <t>30</t>
    </r>
    <r>
      <rPr>
        <b/>
        <sz val="20"/>
        <color theme="1"/>
        <rFont val="新細明體"/>
        <family val="1"/>
        <charset val="136"/>
      </rPr>
      <t>分(第二場)</t>
    </r>
    <phoneticPr fontId="1" type="noConversion"/>
  </si>
  <si>
    <t>中心維修工程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</si>
</sst>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[DBNum1][$-404]yyyy&quot;年&quot;m&quot;月&quot;d&quot;日&quot;;@"/>
    <numFmt numFmtId="178" formatCode="h:mm;@"/>
  </numFmts>
  <fonts count="95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8"/>
      <name val="標楷體"/>
      <family val="4"/>
      <charset val="136"/>
    </font>
    <font>
      <sz val="12"/>
      <name val="標楷體"/>
      <family val="4"/>
      <charset val="136"/>
    </font>
    <font>
      <sz val="16"/>
      <name val="標楷體"/>
      <family val="4"/>
      <charset val="136"/>
    </font>
    <font>
      <sz val="10"/>
      <name val="標楷體"/>
      <family val="4"/>
      <charset val="136"/>
    </font>
    <font>
      <sz val="11.5"/>
      <name val="標楷體"/>
      <family val="4"/>
      <charset val="136"/>
    </font>
    <font>
      <sz val="13"/>
      <name val="標楷體"/>
      <family val="4"/>
      <charset val="136"/>
    </font>
    <font>
      <sz val="14"/>
      <name val="Wingdings"/>
      <charset val="2"/>
    </font>
    <font>
      <sz val="16"/>
      <name val="I.Ngaan"/>
      <family val="3"/>
      <charset val="136"/>
    </font>
    <font>
      <sz val="18"/>
      <name val="I.Ngaan"/>
      <family val="3"/>
      <charset val="136"/>
    </font>
    <font>
      <sz val="12"/>
      <name val="源樣黑體 N"/>
      <family val="2"/>
      <charset val="136"/>
    </font>
    <font>
      <sz val="11"/>
      <name val="源樣黑體 N"/>
      <family val="2"/>
      <charset val="136"/>
    </font>
    <font>
      <sz val="14"/>
      <name val="源樣黑體 N"/>
      <family val="2"/>
      <charset val="136"/>
    </font>
    <font>
      <b/>
      <sz val="22"/>
      <name val="源樣黑體 N"/>
      <family val="2"/>
      <charset val="136"/>
    </font>
    <font>
      <sz val="22"/>
      <name val="源樣黑體 N"/>
      <family val="2"/>
      <charset val="136"/>
    </font>
    <font>
      <sz val="60"/>
      <name val="源樣黑體 N"/>
      <family val="2"/>
      <charset val="136"/>
    </font>
    <font>
      <sz val="14"/>
      <name val="jf open 粉圓 1.1"/>
      <family val="2"/>
      <charset val="136"/>
    </font>
    <font>
      <b/>
      <u/>
      <sz val="14"/>
      <name val="jf open 粉圓 1.1"/>
      <family val="2"/>
      <charset val="136"/>
    </font>
    <font>
      <sz val="12"/>
      <name val="jf open 粉圓 1.1"/>
      <family val="2"/>
      <charset val="136"/>
    </font>
    <font>
      <sz val="12"/>
      <color theme="1"/>
      <name val="源樣黑體 N"/>
      <family val="2"/>
      <charset val="136"/>
    </font>
    <font>
      <sz val="14"/>
      <name val="新細明體"/>
      <family val="1"/>
      <charset val="136"/>
    </font>
    <font>
      <sz val="14"/>
      <name val="源樣黑體 N"/>
      <family val="1"/>
      <charset val="136"/>
    </font>
    <font>
      <sz val="14"/>
      <name val="細明體-ExtB"/>
      <family val="1"/>
      <charset val="136"/>
    </font>
    <font>
      <sz val="60"/>
      <name val="jf open 粉圓 1.1"/>
      <family val="2"/>
      <charset val="136"/>
    </font>
    <font>
      <sz val="12"/>
      <name val="源樣黑體 N"/>
      <family val="1"/>
      <charset val="136"/>
    </font>
    <font>
      <sz val="12"/>
      <name val="新細明體"/>
      <family val="2"/>
      <charset val="136"/>
    </font>
    <font>
      <sz val="12"/>
      <name val="細明體-ExtB"/>
      <family val="1"/>
      <charset val="136"/>
    </font>
    <font>
      <b/>
      <sz val="15"/>
      <color rgb="FFFF0000"/>
      <name val="新細明體"/>
      <family val="1"/>
      <charset val="136"/>
    </font>
    <font>
      <b/>
      <sz val="15"/>
      <color rgb="FFFF0000"/>
      <name val="源樣黑體 N"/>
      <family val="2"/>
      <charset val="136"/>
    </font>
    <font>
      <sz val="11"/>
      <name val="新細明體"/>
      <family val="1"/>
      <charset val="136"/>
    </font>
    <font>
      <sz val="11"/>
      <name val="Wingdings"/>
      <charset val="2"/>
    </font>
    <font>
      <b/>
      <sz val="20"/>
      <name val="源樣黑體 N"/>
      <family val="2"/>
      <charset val="136"/>
    </font>
    <font>
      <b/>
      <sz val="20"/>
      <name val="新細明體"/>
      <family val="1"/>
      <charset val="136"/>
    </font>
    <font>
      <b/>
      <sz val="20"/>
      <name val="細明體-ExtB"/>
      <family val="1"/>
      <charset val="136"/>
    </font>
    <font>
      <b/>
      <sz val="20"/>
      <name val="源樣黑體 N"/>
      <family val="1"/>
      <charset val="136"/>
    </font>
    <font>
      <sz val="12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2"/>
      <name val="Segoe UI Symbol"/>
      <family val="1"/>
    </font>
    <font>
      <b/>
      <sz val="12"/>
      <color rgb="FFFFCC00"/>
      <name val="源樣黑體 N"/>
      <family val="2"/>
      <charset val="136"/>
    </font>
    <font>
      <b/>
      <sz val="12"/>
      <color rgb="FFFFCC00"/>
      <name val="新細明體"/>
      <family val="1"/>
      <charset val="136"/>
    </font>
    <font>
      <b/>
      <sz val="12"/>
      <color rgb="FFFFCC00"/>
      <name val="Wingdings"/>
      <charset val="2"/>
    </font>
    <font>
      <b/>
      <sz val="12"/>
      <color rgb="FFFFC000"/>
      <name val="源樣黑體 N"/>
      <family val="2"/>
      <charset val="136"/>
    </font>
    <font>
      <b/>
      <sz val="12"/>
      <color rgb="FFFFC000"/>
      <name val="Wingdings"/>
      <charset val="2"/>
    </font>
    <font>
      <b/>
      <sz val="12"/>
      <color rgb="FFFFC000"/>
      <name val="新細明體"/>
      <family val="1"/>
      <charset val="136"/>
    </font>
    <font>
      <sz val="12"/>
      <name val="細明體-ExtB"/>
      <family val="2"/>
      <charset val="136"/>
    </font>
    <font>
      <sz val="12"/>
      <name val="Microsoft YaHei"/>
      <family val="1"/>
      <charset val="134"/>
    </font>
    <font>
      <sz val="12"/>
      <name val="Wingdings"/>
      <charset val="2"/>
    </font>
    <font>
      <sz val="12"/>
      <name val="Microsoft JhengHei UI"/>
      <family val="2"/>
      <charset val="134"/>
    </font>
    <font>
      <b/>
      <sz val="18"/>
      <name val="標楷體"/>
      <family val="4"/>
      <charset val="136"/>
    </font>
    <font>
      <b/>
      <sz val="12"/>
      <color theme="1"/>
      <name val="Wingdings"/>
      <charset val="2"/>
    </font>
    <font>
      <b/>
      <sz val="12"/>
      <name val="Wingdings"/>
      <charset val="2"/>
    </font>
    <font>
      <b/>
      <sz val="12"/>
      <color theme="1"/>
      <name val="源樣黑體 N"/>
      <family val="2"/>
      <charset val="136"/>
    </font>
    <font>
      <b/>
      <sz val="12"/>
      <color theme="1"/>
      <name val="Segoe UI Symbol"/>
      <family val="2"/>
    </font>
    <font>
      <b/>
      <sz val="12"/>
      <name val="新細明體"/>
      <family val="1"/>
      <charset val="136"/>
    </font>
    <font>
      <b/>
      <sz val="18"/>
      <name val="Wingdings"/>
      <charset val="2"/>
    </font>
    <font>
      <b/>
      <sz val="12"/>
      <color theme="1"/>
      <name val="微軟正黑體"/>
      <family val="2"/>
      <charset val="136"/>
    </font>
    <font>
      <b/>
      <sz val="18"/>
      <color theme="1"/>
      <name val="I.Ngaan"/>
      <family val="3"/>
      <charset val="136"/>
    </font>
    <font>
      <b/>
      <sz val="16"/>
      <color theme="1"/>
      <name val="I.Ngaan"/>
      <family val="3"/>
      <charset val="136"/>
    </font>
    <font>
      <b/>
      <sz val="11"/>
      <color theme="1"/>
      <name val="源樣黑體 N"/>
      <family val="2"/>
      <charset val="136"/>
    </font>
    <font>
      <b/>
      <sz val="60"/>
      <color theme="1"/>
      <name val="jf open 粉圓 1.1"/>
      <family val="2"/>
      <charset val="136"/>
    </font>
    <font>
      <b/>
      <sz val="14"/>
      <color theme="1"/>
      <name val="源樣黑體 N"/>
      <family val="2"/>
      <charset val="136"/>
    </font>
    <font>
      <b/>
      <sz val="14"/>
      <color theme="1"/>
      <name val="源樣黑體 N"/>
      <family val="1"/>
      <charset val="136"/>
    </font>
    <font>
      <b/>
      <sz val="60"/>
      <color theme="1"/>
      <name val="新細明體"/>
      <family val="1"/>
      <charset val="136"/>
    </font>
    <font>
      <b/>
      <sz val="14"/>
      <color theme="1"/>
      <name val="Segoe UI Symbol"/>
      <family val="2"/>
    </font>
    <font>
      <b/>
      <sz val="16"/>
      <color theme="1"/>
      <name val="Segoe UI Symbol"/>
      <family val="2"/>
    </font>
    <font>
      <b/>
      <sz val="10"/>
      <color theme="1"/>
      <name val="Wingdings"/>
      <charset val="2"/>
    </font>
    <font>
      <b/>
      <sz val="14"/>
      <color theme="1"/>
      <name val="Wingdings"/>
      <charset val="2"/>
    </font>
    <font>
      <b/>
      <sz val="22"/>
      <color theme="1"/>
      <name val="源樣黑體 N"/>
      <family val="2"/>
      <charset val="136"/>
    </font>
    <font>
      <b/>
      <sz val="14"/>
      <color theme="1"/>
      <name val="微軟正黑體"/>
      <family val="2"/>
      <charset val="136"/>
    </font>
    <font>
      <b/>
      <sz val="11"/>
      <color theme="1"/>
      <name val="Wingdings"/>
      <charset val="2"/>
    </font>
    <font>
      <b/>
      <sz val="12"/>
      <color theme="1"/>
      <name val="jf open 粉圓 1.1"/>
      <family val="2"/>
      <charset val="136"/>
    </font>
    <font>
      <b/>
      <sz val="8"/>
      <color theme="1"/>
      <name val="Wingdings"/>
      <charset val="2"/>
    </font>
    <font>
      <b/>
      <sz val="18"/>
      <color theme="1"/>
      <name val="標楷體"/>
      <family val="4"/>
      <charset val="136"/>
    </font>
    <font>
      <b/>
      <sz val="10"/>
      <color theme="1"/>
      <name val="微軟正黑體"/>
      <family val="2"/>
      <charset val="136"/>
    </font>
    <font>
      <b/>
      <sz val="20"/>
      <color theme="1"/>
      <name val="源樣黑體 N"/>
      <family val="2"/>
      <charset val="136"/>
    </font>
    <font>
      <b/>
      <sz val="11"/>
      <color theme="1"/>
      <name val="微軟正黑體"/>
      <family val="2"/>
      <charset val="136"/>
    </font>
    <font>
      <b/>
      <sz val="24"/>
      <color theme="1"/>
      <name val="源樣黑體 N"/>
      <family val="1"/>
      <charset val="136"/>
    </font>
    <font>
      <b/>
      <sz val="8"/>
      <color theme="1"/>
      <name val="細明體"/>
      <family val="3"/>
      <charset val="136"/>
    </font>
    <font>
      <b/>
      <sz val="12"/>
      <color theme="1"/>
      <name val="細明體"/>
      <family val="2"/>
      <charset val="136"/>
    </font>
    <font>
      <b/>
      <sz val="9"/>
      <color theme="1"/>
      <name val="標楷體"/>
      <family val="4"/>
      <charset val="136"/>
    </font>
    <font>
      <b/>
      <sz val="24"/>
      <color theme="1"/>
      <name val="源樣黑體 N"/>
      <family val="2"/>
      <charset val="136"/>
    </font>
    <font>
      <b/>
      <sz val="8"/>
      <color theme="1"/>
      <name val="Segoe UI Symbol"/>
      <family val="2"/>
    </font>
    <font>
      <b/>
      <sz val="12"/>
      <color theme="1"/>
      <name val="細明體"/>
      <family val="1"/>
      <charset val="136"/>
    </font>
    <font>
      <b/>
      <sz val="12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b/>
      <sz val="20"/>
      <color theme="1"/>
      <name val="微軟正黑體"/>
      <family val="2"/>
      <charset val="136"/>
    </font>
    <font>
      <b/>
      <sz val="20"/>
      <color theme="1"/>
      <name val="新細明體"/>
      <family val="1"/>
      <charset val="136"/>
    </font>
    <font>
      <b/>
      <sz val="20"/>
      <color theme="1"/>
      <name val="細明體-ExtB"/>
      <family val="1"/>
      <charset val="136"/>
    </font>
    <font>
      <b/>
      <sz val="22"/>
      <color theme="1"/>
      <name val="新細明體"/>
      <family val="1"/>
      <charset val="136"/>
    </font>
    <font>
      <b/>
      <sz val="22"/>
      <color theme="1"/>
      <name val="源樣黑體 N"/>
      <family val="1"/>
      <charset val="136"/>
    </font>
    <font>
      <b/>
      <sz val="18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60"/>
      <color theme="1"/>
      <name val="微軟正黑體"/>
      <family val="2"/>
      <charset val="136"/>
    </font>
    <font>
      <b/>
      <sz val="22"/>
      <color theme="1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8F2F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4">
    <xf numFmtId="0" fontId="0" fillId="0" borderId="0" xfId="0"/>
    <xf numFmtId="20" fontId="3" fillId="0" borderId="0" xfId="0" applyNumberFormat="1" applyFont="1" applyAlignment="1">
      <alignment horizontal="center" vertical="center" shrinkToFit="1"/>
    </xf>
    <xf numFmtId="0" fontId="2" fillId="0" borderId="0" xfId="0" applyFont="1" applyAlignment="1">
      <alignment horizontal="center" vertical="top" textRotation="255"/>
    </xf>
    <xf numFmtId="0" fontId="5" fillId="0" borderId="0" xfId="0" applyFont="1" applyAlignment="1">
      <alignment vertical="center" wrapText="1" shrinkToFit="1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top" textRotation="255"/>
    </xf>
    <xf numFmtId="0" fontId="2" fillId="0" borderId="0" xfId="0" applyFont="1" applyAlignment="1">
      <alignment vertical="top" textRotation="255"/>
    </xf>
    <xf numFmtId="177" fontId="3" fillId="0" borderId="0" xfId="0" applyNumberFormat="1" applyFont="1" applyAlignment="1">
      <alignment vertical="center" shrinkToFit="1"/>
    </xf>
    <xf numFmtId="176" fontId="7" fillId="0" borderId="0" xfId="0" applyNumberFormat="1" applyFont="1" applyAlignment="1">
      <alignment vertical="center" wrapText="1" shrinkToFit="1"/>
    </xf>
    <xf numFmtId="0" fontId="2" fillId="0" borderId="3" xfId="0" applyFont="1" applyBorder="1" applyAlignment="1">
      <alignment horizontal="center" vertical="top" textRotation="255"/>
    </xf>
    <xf numFmtId="176" fontId="3" fillId="0" borderId="0" xfId="0" applyNumberFormat="1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178" fontId="3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/>
    </xf>
    <xf numFmtId="178" fontId="11" fillId="0" borderId="3" xfId="0" applyNumberFormat="1" applyFont="1" applyBorder="1" applyAlignment="1">
      <alignment horizontal="center" vertical="center" shrinkToFit="1"/>
    </xf>
    <xf numFmtId="178" fontId="11" fillId="0" borderId="0" xfId="0" applyNumberFormat="1" applyFont="1" applyAlignment="1">
      <alignment horizontal="center" vertical="center" shrinkToFit="1"/>
    </xf>
    <xf numFmtId="0" fontId="3" fillId="0" borderId="8" xfId="0" applyFont="1" applyBorder="1" applyAlignment="1">
      <alignment horizontal="left" vertical="center" shrinkToFit="1"/>
    </xf>
    <xf numFmtId="0" fontId="11" fillId="0" borderId="0" xfId="0" applyFont="1" applyAlignment="1">
      <alignment vertical="center" shrinkToFit="1"/>
    </xf>
    <xf numFmtId="0" fontId="11" fillId="0" borderId="0" xfId="0" applyFont="1" applyAlignment="1">
      <alignment horizontal="left" vertical="center" shrinkToFit="1"/>
    </xf>
    <xf numFmtId="0" fontId="11" fillId="0" borderId="8" xfId="0" applyFont="1" applyBorder="1" applyAlignment="1">
      <alignment horizontal="left" vertical="center" shrinkToFit="1"/>
    </xf>
    <xf numFmtId="176" fontId="11" fillId="0" borderId="5" xfId="0" applyNumberFormat="1" applyFont="1" applyBorder="1" applyAlignment="1">
      <alignment horizontal="left" vertical="center" shrinkToFit="1"/>
    </xf>
    <xf numFmtId="0" fontId="12" fillId="0" borderId="1" xfId="0" applyFont="1" applyBorder="1" applyAlignment="1">
      <alignment vertical="center" shrinkToFit="1"/>
    </xf>
    <xf numFmtId="0" fontId="11" fillId="0" borderId="2" xfId="0" applyFont="1" applyBorder="1" applyAlignment="1">
      <alignment horizontal="right" vertical="center" shrinkToFit="1"/>
    </xf>
    <xf numFmtId="0" fontId="11" fillId="0" borderId="1" xfId="0" applyFont="1" applyBorder="1" applyAlignment="1">
      <alignment horizontal="right" vertical="center" shrinkToFit="1"/>
    </xf>
    <xf numFmtId="0" fontId="11" fillId="0" borderId="1" xfId="0" applyFont="1" applyBorder="1" applyAlignment="1">
      <alignment horizontal="left" vertical="center" shrinkToFit="1"/>
    </xf>
    <xf numFmtId="176" fontId="11" fillId="0" borderId="1" xfId="0" applyNumberFormat="1" applyFont="1" applyBorder="1" applyAlignment="1">
      <alignment horizontal="left" vertical="center" shrinkToFit="1"/>
    </xf>
    <xf numFmtId="178" fontId="20" fillId="0" borderId="3" xfId="0" applyNumberFormat="1" applyFont="1" applyBorder="1" applyAlignment="1">
      <alignment horizontal="center" vertical="center" shrinkToFit="1"/>
    </xf>
    <xf numFmtId="20" fontId="11" fillId="0" borderId="3" xfId="0" applyNumberFormat="1" applyFont="1" applyBorder="1" applyAlignment="1">
      <alignment horizontal="center" vertical="center" shrinkToFit="1"/>
    </xf>
    <xf numFmtId="178" fontId="11" fillId="0" borderId="3" xfId="0" applyNumberFormat="1" applyFont="1" applyBorder="1" applyAlignment="1">
      <alignment horizontal="right" vertical="center" shrinkToFit="1"/>
    </xf>
    <xf numFmtId="0" fontId="14" fillId="0" borderId="0" xfId="0" applyFont="1" applyAlignment="1">
      <alignment vertical="center" shrinkToFit="1"/>
    </xf>
    <xf numFmtId="0" fontId="2" fillId="0" borderId="8" xfId="0" applyFont="1" applyBorder="1" applyAlignment="1">
      <alignment horizontal="center" vertical="top" textRotation="255"/>
    </xf>
    <xf numFmtId="176" fontId="19" fillId="0" borderId="3" xfId="0" applyNumberFormat="1" applyFont="1" applyBorder="1" applyAlignment="1">
      <alignment vertical="center" shrinkToFit="1"/>
    </xf>
    <xf numFmtId="176" fontId="19" fillId="0" borderId="0" xfId="0" applyNumberFormat="1" applyFont="1" applyAlignment="1">
      <alignment vertical="center" shrinkToFit="1"/>
    </xf>
    <xf numFmtId="176" fontId="19" fillId="0" borderId="8" xfId="0" applyNumberFormat="1" applyFont="1" applyBorder="1" applyAlignment="1">
      <alignment vertical="center" shrinkToFit="1"/>
    </xf>
    <xf numFmtId="176" fontId="19" fillId="0" borderId="4" xfId="0" applyNumberFormat="1" applyFont="1" applyBorder="1" applyAlignment="1">
      <alignment vertical="center" shrinkToFit="1"/>
    </xf>
    <xf numFmtId="176" fontId="19" fillId="0" borderId="6" xfId="0" applyNumberFormat="1" applyFont="1" applyBorder="1" applyAlignment="1">
      <alignment vertical="center" shrinkToFit="1"/>
    </xf>
    <xf numFmtId="176" fontId="19" fillId="0" borderId="7" xfId="0" applyNumberFormat="1" applyFont="1" applyBorder="1" applyAlignment="1">
      <alignment vertical="center" shrinkToFit="1"/>
    </xf>
    <xf numFmtId="20" fontId="11" fillId="0" borderId="6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vertical="center" shrinkToFit="1"/>
    </xf>
    <xf numFmtId="0" fontId="12" fillId="0" borderId="0" xfId="0" applyFont="1" applyAlignment="1">
      <alignment vertical="center" wrapText="1" shrinkToFit="1"/>
    </xf>
    <xf numFmtId="0" fontId="12" fillId="0" borderId="8" xfId="0" applyFont="1" applyBorder="1" applyAlignment="1">
      <alignment vertical="center" wrapText="1" shrinkToFit="1"/>
    </xf>
    <xf numFmtId="20" fontId="11" fillId="0" borderId="4" xfId="0" applyNumberFormat="1" applyFont="1" applyBorder="1" applyAlignment="1">
      <alignment horizontal="center" vertical="center" shrinkToFit="1"/>
    </xf>
    <xf numFmtId="0" fontId="11" fillId="0" borderId="6" xfId="0" applyFont="1" applyBorder="1" applyAlignment="1">
      <alignment vertical="center" shrinkToFit="1"/>
    </xf>
    <xf numFmtId="0" fontId="11" fillId="0" borderId="7" xfId="0" applyFont="1" applyBorder="1" applyAlignment="1">
      <alignment vertical="center" shrinkToFit="1"/>
    </xf>
    <xf numFmtId="0" fontId="14" fillId="0" borderId="3" xfId="0" applyFont="1" applyBorder="1" applyAlignment="1">
      <alignment vertical="center" shrinkToFit="1"/>
    </xf>
    <xf numFmtId="0" fontId="14" fillId="0" borderId="8" xfId="0" applyFont="1" applyBorder="1" applyAlignment="1">
      <alignment vertical="center" shrinkToFit="1"/>
    </xf>
    <xf numFmtId="20" fontId="15" fillId="0" borderId="4" xfId="0" applyNumberFormat="1" applyFont="1" applyBorder="1" applyAlignment="1">
      <alignment vertical="center" shrinkToFit="1"/>
    </xf>
    <xf numFmtId="20" fontId="15" fillId="0" borderId="6" xfId="0" applyNumberFormat="1" applyFont="1" applyBorder="1" applyAlignment="1">
      <alignment vertical="center" shrinkToFit="1"/>
    </xf>
    <xf numFmtId="20" fontId="15" fillId="0" borderId="7" xfId="0" applyNumberFormat="1" applyFont="1" applyBorder="1" applyAlignment="1">
      <alignment vertical="center" shrinkToFit="1"/>
    </xf>
    <xf numFmtId="178" fontId="20" fillId="0" borderId="3" xfId="0" applyNumberFormat="1" applyFont="1" applyBorder="1" applyAlignment="1">
      <alignment horizontal="right" vertical="center" shrinkToFit="1"/>
    </xf>
    <xf numFmtId="20" fontId="15" fillId="0" borderId="3" xfId="0" applyNumberFormat="1" applyFont="1" applyBorder="1" applyAlignment="1">
      <alignment vertical="center" shrinkToFit="1"/>
    </xf>
    <xf numFmtId="20" fontId="15" fillId="0" borderId="0" xfId="0" applyNumberFormat="1" applyFont="1" applyAlignment="1">
      <alignment vertical="center" shrinkToFit="1"/>
    </xf>
    <xf numFmtId="176" fontId="16" fillId="0" borderId="1" xfId="0" applyNumberFormat="1" applyFont="1" applyBorder="1" applyAlignment="1">
      <alignment vertical="center" shrinkToFit="1"/>
    </xf>
    <xf numFmtId="178" fontId="11" fillId="2" borderId="3" xfId="0" applyNumberFormat="1" applyFont="1" applyFill="1" applyBorder="1" applyAlignment="1">
      <alignment horizontal="center" vertical="center" shrinkToFit="1"/>
    </xf>
    <xf numFmtId="176" fontId="22" fillId="0" borderId="0" xfId="0" applyNumberFormat="1" applyFont="1" applyAlignment="1">
      <alignment vertical="center" wrapText="1" shrinkToFit="1"/>
    </xf>
    <xf numFmtId="178" fontId="11" fillId="3" borderId="3" xfId="0" applyNumberFormat="1" applyFont="1" applyFill="1" applyBorder="1" applyAlignment="1">
      <alignment horizontal="center" vertical="center" shrinkToFit="1"/>
    </xf>
    <xf numFmtId="20" fontId="11" fillId="3" borderId="3" xfId="0" applyNumberFormat="1" applyFont="1" applyFill="1" applyBorder="1" applyAlignment="1">
      <alignment horizontal="center" vertical="center" shrinkToFit="1"/>
    </xf>
    <xf numFmtId="20" fontId="25" fillId="3" borderId="3" xfId="0" applyNumberFormat="1" applyFont="1" applyFill="1" applyBorder="1" applyAlignment="1">
      <alignment horizontal="center" vertical="center" shrinkToFit="1"/>
    </xf>
    <xf numFmtId="178" fontId="11" fillId="3" borderId="3" xfId="0" applyNumberFormat="1" applyFont="1" applyFill="1" applyBorder="1" applyAlignment="1">
      <alignment horizontal="right" vertical="center" shrinkToFit="1"/>
    </xf>
    <xf numFmtId="178" fontId="11" fillId="5" borderId="3" xfId="0" applyNumberFormat="1" applyFont="1" applyFill="1" applyBorder="1" applyAlignment="1">
      <alignment horizontal="center" vertical="center" shrinkToFit="1"/>
    </xf>
    <xf numFmtId="178" fontId="11" fillId="6" borderId="3" xfId="0" applyNumberFormat="1" applyFont="1" applyFill="1" applyBorder="1" applyAlignment="1">
      <alignment horizontal="center" vertical="center" shrinkToFit="1"/>
    </xf>
    <xf numFmtId="178" fontId="39" fillId="0" borderId="3" xfId="0" applyNumberFormat="1" applyFont="1" applyBorder="1" applyAlignment="1">
      <alignment horizontal="center" vertical="center" shrinkToFit="1"/>
    </xf>
    <xf numFmtId="178" fontId="11" fillId="7" borderId="3" xfId="0" applyNumberFormat="1" applyFont="1" applyFill="1" applyBorder="1" applyAlignment="1">
      <alignment horizontal="center" vertical="center" shrinkToFit="1"/>
    </xf>
    <xf numFmtId="178" fontId="25" fillId="7" borderId="3" xfId="0" applyNumberFormat="1" applyFont="1" applyFill="1" applyBorder="1" applyAlignment="1">
      <alignment horizontal="center" vertical="center" shrinkToFit="1"/>
    </xf>
    <xf numFmtId="178" fontId="11" fillId="7" borderId="0" xfId="0" applyNumberFormat="1" applyFont="1" applyFill="1" applyAlignment="1">
      <alignment horizontal="center" vertical="center" shrinkToFit="1"/>
    </xf>
    <xf numFmtId="178" fontId="11" fillId="8" borderId="3" xfId="0" applyNumberFormat="1" applyFont="1" applyFill="1" applyBorder="1" applyAlignment="1">
      <alignment horizontal="center" vertical="center" shrinkToFit="1"/>
    </xf>
    <xf numFmtId="178" fontId="11" fillId="9" borderId="3" xfId="0" applyNumberFormat="1" applyFont="1" applyFill="1" applyBorder="1" applyAlignment="1">
      <alignment horizontal="center" vertical="center" shrinkToFit="1"/>
    </xf>
    <xf numFmtId="176" fontId="48" fillId="0" borderId="0" xfId="0" applyNumberFormat="1" applyFont="1" applyAlignment="1">
      <alignment vertical="center" shrinkToFit="1"/>
    </xf>
    <xf numFmtId="0" fontId="49" fillId="0" borderId="0" xfId="0" applyFont="1" applyAlignment="1">
      <alignment horizontal="center" vertical="top" textRotation="255"/>
    </xf>
    <xf numFmtId="0" fontId="49" fillId="0" borderId="0" xfId="0" applyFont="1" applyAlignment="1">
      <alignment vertical="top" textRotation="255"/>
    </xf>
    <xf numFmtId="0" fontId="49" fillId="0" borderId="0" xfId="0" applyFont="1" applyAlignment="1">
      <alignment horizontal="left" vertical="top" textRotation="255"/>
    </xf>
    <xf numFmtId="0" fontId="54" fillId="0" borderId="0" xfId="0" applyFont="1"/>
    <xf numFmtId="0" fontId="54" fillId="0" borderId="0" xfId="0" applyFont="1" applyAlignment="1">
      <alignment horizontal="center"/>
    </xf>
    <xf numFmtId="0" fontId="51" fillId="0" borderId="0" xfId="0" applyFont="1" applyAlignment="1">
      <alignment vertical="top" textRotation="255"/>
    </xf>
    <xf numFmtId="0" fontId="55" fillId="0" borderId="0" xfId="0" applyFont="1" applyAlignment="1">
      <alignment horizontal="center" vertical="top" textRotation="255"/>
    </xf>
    <xf numFmtId="178" fontId="53" fillId="0" borderId="0" xfId="0" applyNumberFormat="1" applyFont="1" applyAlignment="1">
      <alignment vertical="center" shrinkToFit="1"/>
    </xf>
    <xf numFmtId="178" fontId="50" fillId="0" borderId="0" xfId="0" applyNumberFormat="1" applyFont="1" applyAlignment="1">
      <alignment horizontal="center" vertical="center" shrinkToFit="1"/>
    </xf>
    <xf numFmtId="178" fontId="52" fillId="0" borderId="0" xfId="0" applyNumberFormat="1" applyFont="1" applyAlignment="1">
      <alignment horizontal="right" vertical="center" shrinkToFit="1"/>
    </xf>
    <xf numFmtId="176" fontId="50" fillId="0" borderId="0" xfId="0" applyNumberFormat="1" applyFont="1" applyAlignment="1">
      <alignment horizontal="center" vertical="center" shrinkToFit="1"/>
    </xf>
    <xf numFmtId="0" fontId="59" fillId="0" borderId="0" xfId="0" applyFont="1" applyAlignment="1">
      <alignment horizontal="center" vertical="center" shrinkToFit="1"/>
    </xf>
    <xf numFmtId="0" fontId="52" fillId="0" borderId="0" xfId="0" applyFont="1" applyAlignment="1">
      <alignment horizontal="center" vertical="center" shrinkToFit="1"/>
    </xf>
    <xf numFmtId="176" fontId="52" fillId="0" borderId="33" xfId="0" applyNumberFormat="1" applyFont="1" applyBorder="1" applyAlignment="1">
      <alignment horizontal="center" vertical="center" shrinkToFit="1"/>
    </xf>
    <xf numFmtId="0" fontId="52" fillId="0" borderId="33" xfId="0" applyFont="1" applyBorder="1" applyAlignment="1">
      <alignment horizontal="center" vertical="center" shrinkToFit="1"/>
    </xf>
    <xf numFmtId="0" fontId="52" fillId="0" borderId="34" xfId="0" applyFont="1" applyBorder="1" applyAlignment="1">
      <alignment horizontal="center" vertical="center" shrinkToFit="1"/>
    </xf>
    <xf numFmtId="0" fontId="52" fillId="0" borderId="35" xfId="0" applyFont="1" applyBorder="1" applyAlignment="1">
      <alignment horizontal="center" vertical="center" shrinkToFit="1"/>
    </xf>
    <xf numFmtId="176" fontId="60" fillId="0" borderId="0" xfId="0" applyNumberFormat="1" applyFont="1" applyAlignment="1">
      <alignment horizontal="center" vertical="center" wrapText="1" shrinkToFit="1"/>
    </xf>
    <xf numFmtId="176" fontId="60" fillId="0" borderId="8" xfId="0" applyNumberFormat="1" applyFont="1" applyBorder="1" applyAlignment="1">
      <alignment horizontal="center" vertical="center" wrapText="1" shrinkToFit="1"/>
    </xf>
    <xf numFmtId="178" fontId="62" fillId="0" borderId="0" xfId="0" applyNumberFormat="1" applyFont="1" applyAlignment="1">
      <alignment horizontal="center" vertical="center" wrapText="1" shrinkToFit="1"/>
    </xf>
    <xf numFmtId="178" fontId="64" fillId="0" borderId="0" xfId="0" applyNumberFormat="1" applyFont="1" applyAlignment="1">
      <alignment horizontal="center" vertical="center" shrinkToFit="1"/>
    </xf>
    <xf numFmtId="0" fontId="52" fillId="0" borderId="8" xfId="0" applyFont="1" applyBorder="1" applyAlignment="1">
      <alignment horizontal="left" vertical="center" shrinkToFit="1"/>
    </xf>
    <xf numFmtId="178" fontId="52" fillId="0" borderId="0" xfId="0" applyNumberFormat="1" applyFont="1" applyAlignment="1">
      <alignment horizontal="center" vertical="center" shrinkToFit="1"/>
    </xf>
    <xf numFmtId="178" fontId="65" fillId="0" borderId="0" xfId="0" applyNumberFormat="1" applyFont="1" applyAlignment="1">
      <alignment horizontal="center" vertical="center" shrinkToFit="1"/>
    </xf>
    <xf numFmtId="178" fontId="66" fillId="0" borderId="0" xfId="0" applyNumberFormat="1" applyFont="1" applyAlignment="1">
      <alignment horizontal="center" vertical="center" shrinkToFit="1"/>
    </xf>
    <xf numFmtId="20" fontId="67" fillId="0" borderId="0" xfId="0" applyNumberFormat="1" applyFont="1" applyAlignment="1">
      <alignment horizontal="center" vertical="center" shrinkToFit="1"/>
    </xf>
    <xf numFmtId="20" fontId="68" fillId="0" borderId="0" xfId="0" applyNumberFormat="1" applyFont="1" applyAlignment="1">
      <alignment vertical="center" shrinkToFit="1"/>
    </xf>
    <xf numFmtId="178" fontId="67" fillId="0" borderId="0" xfId="0" applyNumberFormat="1" applyFont="1" applyAlignment="1">
      <alignment horizontal="center" vertical="center" shrinkToFit="1"/>
    </xf>
    <xf numFmtId="20" fontId="68" fillId="0" borderId="0" xfId="0" applyNumberFormat="1" applyFont="1" applyAlignment="1">
      <alignment horizontal="center" vertical="center" shrinkToFit="1"/>
    </xf>
    <xf numFmtId="20" fontId="68" fillId="0" borderId="16" xfId="0" applyNumberFormat="1" applyFont="1" applyBorder="1" applyAlignment="1">
      <alignment horizontal="center" vertical="center" shrinkToFit="1"/>
    </xf>
    <xf numFmtId="176" fontId="64" fillId="0" borderId="0" xfId="0" applyNumberFormat="1" applyFont="1" applyAlignment="1">
      <alignment horizontal="center" vertical="center" wrapText="1" shrinkToFit="1"/>
    </xf>
    <xf numFmtId="178" fontId="69" fillId="0" borderId="8" xfId="0" applyNumberFormat="1" applyFont="1" applyBorder="1" applyAlignment="1">
      <alignment horizontal="center" vertical="center" wrapText="1" shrinkToFit="1"/>
    </xf>
    <xf numFmtId="178" fontId="70" fillId="0" borderId="6" xfId="0" applyNumberFormat="1" applyFont="1" applyBorder="1" applyAlignment="1">
      <alignment vertical="center" shrinkToFit="1"/>
    </xf>
    <xf numFmtId="0" fontId="52" fillId="0" borderId="7" xfId="0" applyFont="1" applyBorder="1" applyAlignment="1">
      <alignment horizontal="left" vertical="center" shrinkToFit="1"/>
    </xf>
    <xf numFmtId="20" fontId="68" fillId="0" borderId="6" xfId="0" applyNumberFormat="1" applyFont="1" applyBorder="1" applyAlignment="1">
      <alignment horizontal="center" vertical="center" shrinkToFit="1"/>
    </xf>
    <xf numFmtId="20" fontId="68" fillId="0" borderId="36" xfId="0" applyNumberFormat="1" applyFont="1" applyBorder="1" applyAlignment="1">
      <alignment horizontal="center" vertical="center" shrinkToFit="1"/>
    </xf>
    <xf numFmtId="176" fontId="71" fillId="0" borderId="0" xfId="0" applyNumberFormat="1" applyFont="1" applyAlignment="1">
      <alignment horizontal="center" vertical="center" shrinkToFit="1"/>
    </xf>
    <xf numFmtId="176" fontId="71" fillId="0" borderId="8" xfId="0" applyNumberFormat="1" applyFont="1" applyBorder="1" applyAlignment="1">
      <alignment horizontal="center" vertical="center" shrinkToFit="1"/>
    </xf>
    <xf numFmtId="176" fontId="52" fillId="0" borderId="0" xfId="0" applyNumberFormat="1" applyFont="1" applyAlignment="1">
      <alignment horizontal="center" vertical="center" shrinkToFit="1"/>
    </xf>
    <xf numFmtId="0" fontId="52" fillId="0" borderId="8" xfId="0" applyFont="1" applyBorder="1" applyAlignment="1">
      <alignment horizontal="center" vertical="center" shrinkToFit="1"/>
    </xf>
    <xf numFmtId="0" fontId="52" fillId="0" borderId="16" xfId="0" applyFont="1" applyBorder="1" applyAlignment="1">
      <alignment horizontal="center" vertical="center" shrinkToFit="1"/>
    </xf>
    <xf numFmtId="20" fontId="72" fillId="0" borderId="0" xfId="0" applyNumberFormat="1" applyFont="1" applyAlignment="1">
      <alignment horizontal="center" vertical="center" shrinkToFit="1"/>
    </xf>
    <xf numFmtId="0" fontId="73" fillId="0" borderId="0" xfId="0" applyFont="1" applyAlignment="1">
      <alignment horizontal="center" vertical="top" textRotation="255"/>
    </xf>
    <xf numFmtId="0" fontId="56" fillId="0" borderId="0" xfId="0" applyFont="1" applyAlignment="1">
      <alignment horizontal="left" vertical="center" wrapText="1" shrinkToFit="1"/>
    </xf>
    <xf numFmtId="178" fontId="75" fillId="0" borderId="0" xfId="0" applyNumberFormat="1" applyFont="1" applyAlignment="1">
      <alignment vertical="center" shrinkToFit="1"/>
    </xf>
    <xf numFmtId="178" fontId="75" fillId="0" borderId="16" xfId="0" applyNumberFormat="1" applyFont="1" applyBorder="1" applyAlignment="1">
      <alignment vertical="center" shrinkToFit="1"/>
    </xf>
    <xf numFmtId="178" fontId="50" fillId="0" borderId="0" xfId="0" applyNumberFormat="1" applyFont="1" applyAlignment="1">
      <alignment horizontal="right" vertical="center" shrinkToFit="1"/>
    </xf>
    <xf numFmtId="0" fontId="76" fillId="0" borderId="0" xfId="0" applyFont="1" applyAlignment="1">
      <alignment vertical="center" wrapText="1" shrinkToFit="1"/>
    </xf>
    <xf numFmtId="0" fontId="76" fillId="0" borderId="8" xfId="0" applyFont="1" applyBorder="1" applyAlignment="1">
      <alignment vertical="center" wrapText="1" shrinkToFit="1"/>
    </xf>
    <xf numFmtId="0" fontId="52" fillId="0" borderId="0" xfId="0" applyFont="1" applyAlignment="1">
      <alignment horizontal="left" vertical="center" shrinkToFit="1"/>
    </xf>
    <xf numFmtId="178" fontId="74" fillId="0" borderId="0" xfId="0" applyNumberFormat="1" applyFont="1" applyAlignment="1">
      <alignment vertical="center" wrapText="1" shrinkToFit="1"/>
    </xf>
    <xf numFmtId="178" fontId="74" fillId="0" borderId="8" xfId="0" applyNumberFormat="1" applyFont="1" applyBorder="1" applyAlignment="1">
      <alignment vertical="center" wrapText="1" shrinkToFit="1"/>
    </xf>
    <xf numFmtId="178" fontId="77" fillId="0" borderId="0" xfId="0" applyNumberFormat="1" applyFont="1" applyAlignment="1">
      <alignment horizontal="center" vertical="center" shrinkToFit="1"/>
    </xf>
    <xf numFmtId="178" fontId="70" fillId="0" borderId="0" xfId="0" applyNumberFormat="1" applyFont="1" applyAlignment="1">
      <alignment vertical="center" shrinkToFit="1"/>
    </xf>
    <xf numFmtId="20" fontId="78" fillId="0" borderId="0" xfId="0" applyNumberFormat="1" applyFont="1" applyAlignment="1">
      <alignment horizontal="center" vertical="center" shrinkToFit="1"/>
    </xf>
    <xf numFmtId="178" fontId="74" fillId="0" borderId="0" xfId="0" applyNumberFormat="1" applyFont="1" applyAlignment="1">
      <alignment horizontal="left" vertical="center" wrapText="1" shrinkToFit="1"/>
    </xf>
    <xf numFmtId="0" fontId="79" fillId="0" borderId="0" xfId="0" applyFont="1" applyAlignment="1">
      <alignment horizontal="left" vertical="center" shrinkToFit="1"/>
    </xf>
    <xf numFmtId="176" fontId="50" fillId="0" borderId="1" xfId="0" applyNumberFormat="1" applyFont="1" applyBorder="1" applyAlignment="1">
      <alignment horizontal="center" vertical="center" shrinkToFit="1"/>
    </xf>
    <xf numFmtId="0" fontId="59" fillId="0" borderId="1" xfId="0" applyFont="1" applyBorder="1" applyAlignment="1">
      <alignment horizontal="center" vertical="center" shrinkToFit="1"/>
    </xf>
    <xf numFmtId="0" fontId="52" fillId="0" borderId="1" xfId="0" applyFont="1" applyBorder="1" applyAlignment="1">
      <alignment horizontal="center" vertical="center" shrinkToFit="1"/>
    </xf>
    <xf numFmtId="176" fontId="52" fillId="0" borderId="1" xfId="0" applyNumberFormat="1" applyFont="1" applyBorder="1" applyAlignment="1">
      <alignment horizontal="center" vertical="center" shrinkToFit="1"/>
    </xf>
    <xf numFmtId="0" fontId="52" fillId="0" borderId="2" xfId="0" applyFont="1" applyBorder="1" applyAlignment="1">
      <alignment horizontal="center" vertical="center" shrinkToFit="1"/>
    </xf>
    <xf numFmtId="0" fontId="52" fillId="0" borderId="25" xfId="0" applyFont="1" applyBorder="1" applyAlignment="1">
      <alignment horizontal="center" vertical="center" shrinkToFit="1"/>
    </xf>
    <xf numFmtId="0" fontId="80" fillId="0" borderId="0" xfId="0" applyFont="1" applyAlignment="1">
      <alignment horizontal="center" vertical="top" textRotation="255"/>
    </xf>
    <xf numFmtId="178" fontId="81" fillId="0" borderId="0" xfId="0" applyNumberFormat="1" applyFont="1" applyAlignment="1">
      <alignment horizontal="center" vertical="center" shrinkToFit="1"/>
    </xf>
    <xf numFmtId="20" fontId="82" fillId="0" borderId="0" xfId="0" applyNumberFormat="1" applyFont="1" applyAlignment="1">
      <alignment horizontal="center" vertical="center" shrinkToFit="1"/>
    </xf>
    <xf numFmtId="178" fontId="81" fillId="0" borderId="0" xfId="0" applyNumberFormat="1" applyFont="1" applyAlignment="1">
      <alignment vertical="center" shrinkToFit="1"/>
    </xf>
    <xf numFmtId="178" fontId="69" fillId="0" borderId="0" xfId="0" applyNumberFormat="1" applyFont="1" applyAlignment="1">
      <alignment horizontal="left" vertical="center" wrapText="1" shrinkToFit="1"/>
    </xf>
    <xf numFmtId="0" fontId="68" fillId="0" borderId="0" xfId="0" applyFont="1" applyAlignment="1">
      <alignment vertical="center" shrinkToFit="1"/>
    </xf>
    <xf numFmtId="0" fontId="85" fillId="0" borderId="0" xfId="0" applyFont="1" applyAlignment="1">
      <alignment horizontal="left" vertical="center" wrapText="1" shrinkToFit="1"/>
    </xf>
    <xf numFmtId="0" fontId="85" fillId="0" borderId="8" xfId="0" applyFont="1" applyBorder="1" applyAlignment="1">
      <alignment horizontal="left" vertical="center" wrapText="1" shrinkToFit="1"/>
    </xf>
    <xf numFmtId="178" fontId="52" fillId="0" borderId="6" xfId="0" applyNumberFormat="1" applyFont="1" applyBorder="1" applyAlignment="1">
      <alignment vertical="center" shrinkToFit="1"/>
    </xf>
    <xf numFmtId="0" fontId="52" fillId="0" borderId="6" xfId="0" applyFont="1" applyBorder="1" applyAlignment="1">
      <alignment horizontal="left" vertical="center" shrinkToFit="1"/>
    </xf>
    <xf numFmtId="178" fontId="75" fillId="0" borderId="6" xfId="0" applyNumberFormat="1" applyFont="1" applyBorder="1" applyAlignment="1">
      <alignment vertical="center" shrinkToFit="1"/>
    </xf>
    <xf numFmtId="178" fontId="81" fillId="0" borderId="6" xfId="0" applyNumberFormat="1" applyFont="1" applyBorder="1" applyAlignment="1">
      <alignment horizontal="center" vertical="center" shrinkToFit="1"/>
    </xf>
    <xf numFmtId="0" fontId="85" fillId="0" borderId="6" xfId="0" applyFont="1" applyBorder="1" applyAlignment="1">
      <alignment vertical="center" wrapText="1" shrinkToFit="1"/>
    </xf>
    <xf numFmtId="0" fontId="85" fillId="0" borderId="7" xfId="0" applyFont="1" applyBorder="1" applyAlignment="1">
      <alignment vertical="center" wrapText="1" shrinkToFit="1"/>
    </xf>
    <xf numFmtId="178" fontId="50" fillId="0" borderId="6" xfId="0" applyNumberFormat="1" applyFont="1" applyBorder="1" applyAlignment="1">
      <alignment horizontal="center" vertical="center" shrinkToFit="1"/>
    </xf>
    <xf numFmtId="0" fontId="56" fillId="0" borderId="0" xfId="0" applyFont="1" applyAlignment="1">
      <alignment vertical="center" shrinkToFit="1"/>
    </xf>
    <xf numFmtId="0" fontId="56" fillId="0" borderId="8" xfId="0" applyFont="1" applyBorder="1" applyAlignment="1">
      <alignment vertical="center" shrinkToFit="1"/>
    </xf>
    <xf numFmtId="0" fontId="84" fillId="0" borderId="0" xfId="0" applyFont="1" applyAlignment="1">
      <alignment vertical="center" shrinkToFit="1"/>
    </xf>
    <xf numFmtId="0" fontId="84" fillId="0" borderId="8" xfId="0" applyFont="1" applyBorder="1" applyAlignment="1">
      <alignment vertical="center" shrinkToFit="1"/>
    </xf>
    <xf numFmtId="20" fontId="72" fillId="0" borderId="28" xfId="0" applyNumberFormat="1" applyFont="1" applyBorder="1" applyAlignment="1">
      <alignment horizontal="center" vertical="center" shrinkToFit="1"/>
    </xf>
    <xf numFmtId="0" fontId="52" fillId="0" borderId="28" xfId="0" applyFont="1" applyBorder="1" applyAlignment="1">
      <alignment horizontal="left" vertical="center" shrinkToFit="1"/>
    </xf>
    <xf numFmtId="176" fontId="60" fillId="0" borderId="28" xfId="0" applyNumberFormat="1" applyFont="1" applyBorder="1" applyAlignment="1">
      <alignment horizontal="center" vertical="center" wrapText="1" shrinkToFit="1"/>
    </xf>
    <xf numFmtId="176" fontId="60" fillId="0" borderId="29" xfId="0" applyNumberFormat="1" applyFont="1" applyBorder="1" applyAlignment="1">
      <alignment horizontal="center" vertical="center" wrapText="1" shrinkToFit="1"/>
    </xf>
    <xf numFmtId="178" fontId="81" fillId="0" borderId="28" xfId="0" applyNumberFormat="1" applyFont="1" applyBorder="1" applyAlignment="1">
      <alignment horizontal="center" vertical="center" shrinkToFit="1"/>
    </xf>
    <xf numFmtId="178" fontId="81" fillId="0" borderId="29" xfId="0" applyNumberFormat="1" applyFont="1" applyBorder="1" applyAlignment="1">
      <alignment horizontal="center" vertical="center" shrinkToFit="1"/>
    </xf>
    <xf numFmtId="178" fontId="50" fillId="0" borderId="28" xfId="0" applyNumberFormat="1" applyFont="1" applyBorder="1" applyAlignment="1">
      <alignment horizontal="center" vertical="center" shrinkToFit="1"/>
    </xf>
    <xf numFmtId="20" fontId="68" fillId="0" borderId="28" xfId="0" applyNumberFormat="1" applyFont="1" applyBorder="1" applyAlignment="1">
      <alignment horizontal="center" vertical="center" shrinkToFit="1"/>
    </xf>
    <xf numFmtId="20" fontId="68" fillId="0" borderId="31" xfId="0" applyNumberFormat="1" applyFont="1" applyBorder="1" applyAlignment="1">
      <alignment horizontal="center" vertical="center" shrinkToFit="1"/>
    </xf>
    <xf numFmtId="176" fontId="56" fillId="0" borderId="23" xfId="0" applyNumberFormat="1" applyFont="1" applyBorder="1" applyAlignment="1">
      <alignment horizontal="center" vertical="center" shrinkToFit="1"/>
    </xf>
    <xf numFmtId="178" fontId="56" fillId="0" borderId="23" xfId="0" applyNumberFormat="1" applyFont="1" applyBorder="1" applyAlignment="1">
      <alignment horizontal="right" vertical="center" shrinkToFit="1"/>
    </xf>
    <xf numFmtId="178" fontId="56" fillId="0" borderId="23" xfId="0" applyNumberFormat="1" applyFont="1" applyBorder="1" applyAlignment="1">
      <alignment vertical="center" shrinkToFit="1"/>
    </xf>
    <xf numFmtId="176" fontId="56" fillId="0" borderId="26" xfId="0" applyNumberFormat="1" applyFont="1" applyBorder="1" applyAlignment="1">
      <alignment horizontal="center" vertical="center" shrinkToFit="1"/>
    </xf>
    <xf numFmtId="178" fontId="56" fillId="0" borderId="24" xfId="0" applyNumberFormat="1" applyFont="1" applyBorder="1" applyAlignment="1">
      <alignment vertical="center" shrinkToFit="1"/>
    </xf>
    <xf numFmtId="178" fontId="56" fillId="0" borderId="27" xfId="0" applyNumberFormat="1" applyFont="1" applyBorder="1" applyAlignment="1">
      <alignment vertical="center" shrinkToFit="1"/>
    </xf>
    <xf numFmtId="0" fontId="91" fillId="0" borderId="0" xfId="0" applyFont="1" applyAlignment="1">
      <alignment horizontal="center" vertical="top" textRotation="255"/>
    </xf>
    <xf numFmtId="176" fontId="56" fillId="0" borderId="32" xfId="0" applyNumberFormat="1" applyFont="1" applyBorder="1" applyAlignment="1">
      <alignment horizontal="center" vertical="center" shrinkToFit="1"/>
    </xf>
    <xf numFmtId="176" fontId="56" fillId="0" borderId="3" xfId="0" applyNumberFormat="1" applyFont="1" applyBorder="1" applyAlignment="1">
      <alignment horizontal="center" vertical="center" shrinkToFit="1"/>
    </xf>
    <xf numFmtId="178" fontId="56" fillId="0" borderId="3" xfId="0" applyNumberFormat="1" applyFont="1" applyBorder="1" applyAlignment="1">
      <alignment vertical="center" shrinkToFit="1"/>
    </xf>
    <xf numFmtId="178" fontId="56" fillId="0" borderId="3" xfId="0" applyNumberFormat="1" applyFont="1" applyBorder="1" applyAlignment="1">
      <alignment horizontal="right" vertical="center" shrinkToFit="1"/>
    </xf>
    <xf numFmtId="178" fontId="92" fillId="0" borderId="3" xfId="0" applyNumberFormat="1" applyFont="1" applyBorder="1" applyAlignment="1">
      <alignment horizontal="center" vertical="center" shrinkToFit="1"/>
    </xf>
    <xf numFmtId="176" fontId="56" fillId="0" borderId="5" xfId="0" applyNumberFormat="1" applyFont="1" applyBorder="1" applyAlignment="1">
      <alignment horizontal="center" vertical="center" shrinkToFit="1"/>
    </xf>
    <xf numFmtId="178" fontId="56" fillId="0" borderId="4" xfId="0" applyNumberFormat="1" applyFont="1" applyBorder="1" applyAlignment="1">
      <alignment vertical="center" shrinkToFit="1"/>
    </xf>
    <xf numFmtId="176" fontId="93" fillId="0" borderId="3" xfId="0" applyNumberFormat="1" applyFont="1" applyBorder="1" applyAlignment="1">
      <alignment horizontal="center" vertical="center" wrapText="1" shrinkToFit="1"/>
    </xf>
    <xf numFmtId="176" fontId="93" fillId="0" borderId="30" xfId="0" applyNumberFormat="1" applyFont="1" applyBorder="1" applyAlignment="1">
      <alignment horizontal="center" vertical="center" wrapText="1" shrinkToFit="1"/>
    </xf>
    <xf numFmtId="0" fontId="91" fillId="0" borderId="0" xfId="0" applyFont="1" applyAlignment="1">
      <alignment vertical="top" textRotation="255"/>
    </xf>
    <xf numFmtId="176" fontId="56" fillId="0" borderId="0" xfId="0" applyNumberFormat="1" applyFont="1" applyAlignment="1">
      <alignment horizontal="center" vertical="center" shrinkToFit="1"/>
    </xf>
    <xf numFmtId="178" fontId="92" fillId="0" borderId="3" xfId="0" applyNumberFormat="1" applyFont="1" applyBorder="1" applyAlignment="1">
      <alignment vertical="center" shrinkToFit="1"/>
    </xf>
    <xf numFmtId="178" fontId="92" fillId="0" borderId="30" xfId="0" applyNumberFormat="1" applyFont="1" applyBorder="1" applyAlignment="1">
      <alignment horizontal="center" vertical="center" shrinkToFit="1"/>
    </xf>
    <xf numFmtId="178" fontId="56" fillId="0" borderId="0" xfId="0" applyNumberFormat="1" applyFont="1" applyAlignment="1">
      <alignment horizontal="right" vertical="center" shrinkToFit="1"/>
    </xf>
    <xf numFmtId="178" fontId="56" fillId="0" borderId="4" xfId="0" applyNumberFormat="1" applyFont="1" applyBorder="1" applyAlignment="1">
      <alignment horizontal="right" vertical="center" shrinkToFit="1"/>
    </xf>
    <xf numFmtId="178" fontId="56" fillId="0" borderId="30" xfId="0" applyNumberFormat="1" applyFont="1" applyBorder="1" applyAlignment="1">
      <alignment horizontal="right" vertical="center" shrinkToFit="1"/>
    </xf>
    <xf numFmtId="178" fontId="56" fillId="0" borderId="0" xfId="0" applyNumberFormat="1" applyFont="1" applyAlignment="1">
      <alignment horizontal="center" vertical="center" shrinkToFit="1"/>
    </xf>
    <xf numFmtId="20" fontId="94" fillId="0" borderId="3" xfId="0" applyNumberFormat="1" applyFont="1" applyBorder="1" applyAlignment="1">
      <alignment vertical="center" shrinkToFit="1"/>
    </xf>
    <xf numFmtId="178" fontId="86" fillId="0" borderId="3" xfId="0" applyNumberFormat="1" applyFont="1" applyBorder="1" applyAlignment="1">
      <alignment vertical="center" shrinkToFit="1"/>
    </xf>
    <xf numFmtId="20" fontId="94" fillId="0" borderId="0" xfId="0" applyNumberFormat="1" applyFont="1" applyAlignment="1">
      <alignment horizontal="center" vertical="center" shrinkToFit="1"/>
    </xf>
    <xf numFmtId="178" fontId="56" fillId="0" borderId="3" xfId="0" applyNumberFormat="1" applyFont="1" applyBorder="1" applyAlignment="1">
      <alignment horizontal="center" vertical="center" shrinkToFit="1"/>
    </xf>
    <xf numFmtId="0" fontId="94" fillId="0" borderId="3" xfId="0" applyFont="1" applyBorder="1" applyAlignment="1">
      <alignment vertical="center" shrinkToFit="1"/>
    </xf>
    <xf numFmtId="20" fontId="94" fillId="0" borderId="4" xfId="0" applyNumberFormat="1" applyFont="1" applyBorder="1" applyAlignment="1">
      <alignment horizontal="center" vertical="center" shrinkToFit="1"/>
    </xf>
    <xf numFmtId="20" fontId="94" fillId="0" borderId="30" xfId="0" applyNumberFormat="1" applyFont="1" applyBorder="1" applyAlignment="1">
      <alignment horizontal="center" vertical="center" shrinkToFit="1"/>
    </xf>
    <xf numFmtId="0" fontId="76" fillId="0" borderId="0" xfId="0" applyFont="1" applyAlignment="1">
      <alignment horizontal="left" vertical="center" wrapText="1" shrinkToFit="1"/>
    </xf>
    <xf numFmtId="0" fontId="76" fillId="0" borderId="8" xfId="0" applyFont="1" applyBorder="1" applyAlignment="1">
      <alignment horizontal="left" vertical="center" wrapText="1" shrinkToFit="1"/>
    </xf>
    <xf numFmtId="0" fontId="56" fillId="0" borderId="0" xfId="0" applyFont="1" applyAlignment="1">
      <alignment horizontal="left" vertical="center" shrinkToFit="1"/>
    </xf>
    <xf numFmtId="0" fontId="56" fillId="0" borderId="8" xfId="0" applyFont="1" applyBorder="1" applyAlignment="1">
      <alignment horizontal="left" vertical="center" shrinkToFit="1"/>
    </xf>
    <xf numFmtId="0" fontId="56" fillId="0" borderId="0" xfId="0" applyFont="1" applyAlignment="1">
      <alignment horizontal="left" vertical="center" wrapText="1" shrinkToFit="1"/>
    </xf>
    <xf numFmtId="0" fontId="56" fillId="0" borderId="8" xfId="0" applyFont="1" applyBorder="1" applyAlignment="1">
      <alignment horizontal="left" vertical="center" wrapText="1" shrinkToFit="1"/>
    </xf>
    <xf numFmtId="178" fontId="56" fillId="0" borderId="0" xfId="0" applyNumberFormat="1" applyFont="1" applyAlignment="1">
      <alignment horizontal="left" vertical="center" wrapText="1" shrinkToFit="1"/>
    </xf>
    <xf numFmtId="178" fontId="56" fillId="0" borderId="8" xfId="0" applyNumberFormat="1" applyFont="1" applyBorder="1" applyAlignment="1">
      <alignment horizontal="left" vertical="center" wrapText="1" shrinkToFit="1"/>
    </xf>
    <xf numFmtId="178" fontId="69" fillId="0" borderId="0" xfId="0" applyNumberFormat="1" applyFont="1" applyAlignment="1">
      <alignment horizontal="left" vertical="center" wrapText="1" shrinkToFit="1"/>
    </xf>
    <xf numFmtId="178" fontId="69" fillId="0" borderId="8" xfId="0" applyNumberFormat="1" applyFont="1" applyBorder="1" applyAlignment="1">
      <alignment horizontal="left" vertical="center" wrapText="1" shrinkToFit="1"/>
    </xf>
    <xf numFmtId="178" fontId="83" fillId="0" borderId="0" xfId="0" applyNumberFormat="1" applyFont="1" applyAlignment="1">
      <alignment horizontal="left" vertical="center" wrapText="1" shrinkToFit="1"/>
    </xf>
    <xf numFmtId="178" fontId="83" fillId="0" borderId="8" xfId="0" applyNumberFormat="1" applyFont="1" applyBorder="1" applyAlignment="1">
      <alignment horizontal="left" vertical="center" wrapText="1" shrinkToFit="1"/>
    </xf>
    <xf numFmtId="0" fontId="56" fillId="0" borderId="6" xfId="0" applyFont="1" applyBorder="1" applyAlignment="1">
      <alignment horizontal="left" vertical="center" wrapText="1" shrinkToFit="1"/>
    </xf>
    <xf numFmtId="0" fontId="56" fillId="0" borderId="7" xfId="0" applyFont="1" applyBorder="1" applyAlignment="1">
      <alignment horizontal="left" vertical="center" wrapText="1" shrinkToFit="1"/>
    </xf>
    <xf numFmtId="0" fontId="69" fillId="0" borderId="0" xfId="0" applyFont="1" applyAlignment="1">
      <alignment horizontal="left" vertical="center" shrinkToFit="1"/>
    </xf>
    <xf numFmtId="0" fontId="52" fillId="0" borderId="28" xfId="0" applyFont="1" applyBorder="1" applyAlignment="1">
      <alignment horizontal="left" vertical="center" shrinkToFit="1"/>
    </xf>
    <xf numFmtId="0" fontId="52" fillId="0" borderId="29" xfId="0" applyFont="1" applyBorder="1" applyAlignment="1">
      <alignment horizontal="left" vertical="center" shrinkToFit="1"/>
    </xf>
    <xf numFmtId="0" fontId="84" fillId="0" borderId="28" xfId="0" applyFont="1" applyBorder="1" applyAlignment="1">
      <alignment horizontal="left" vertical="center" shrinkToFit="1"/>
    </xf>
    <xf numFmtId="0" fontId="84" fillId="0" borderId="29" xfId="0" applyFont="1" applyBorder="1" applyAlignment="1">
      <alignment horizontal="left" vertical="center" shrinkToFit="1"/>
    </xf>
    <xf numFmtId="0" fontId="69" fillId="0" borderId="8" xfId="0" applyFont="1" applyBorder="1" applyAlignment="1">
      <alignment horizontal="left" vertical="center" shrinkToFit="1"/>
    </xf>
    <xf numFmtId="0" fontId="89" fillId="0" borderId="23" xfId="0" applyFont="1" applyBorder="1" applyAlignment="1">
      <alignment horizontal="center" vertical="top"/>
    </xf>
    <xf numFmtId="0" fontId="90" fillId="0" borderId="0" xfId="0" applyFont="1" applyAlignment="1">
      <alignment horizontal="center" vertical="top"/>
    </xf>
    <xf numFmtId="0" fontId="90" fillId="0" borderId="16" xfId="0" applyFont="1" applyBorder="1" applyAlignment="1">
      <alignment horizontal="center" vertical="top"/>
    </xf>
    <xf numFmtId="0" fontId="90" fillId="0" borderId="27" xfId="0" applyFont="1" applyBorder="1" applyAlignment="1">
      <alignment horizontal="center" vertical="top"/>
    </xf>
    <xf numFmtId="0" fontId="90" fillId="0" borderId="28" xfId="0" applyFont="1" applyBorder="1" applyAlignment="1">
      <alignment horizontal="center" vertical="top"/>
    </xf>
    <xf numFmtId="0" fontId="90" fillId="0" borderId="31" xfId="0" applyFont="1" applyBorder="1" applyAlignment="1">
      <alignment horizontal="center" vertical="top"/>
    </xf>
    <xf numFmtId="0" fontId="57" fillId="0" borderId="23" xfId="0" applyFont="1" applyBorder="1" applyAlignment="1">
      <alignment horizontal="center" vertical="top" textRotation="255"/>
    </xf>
    <xf numFmtId="0" fontId="57" fillId="0" borderId="27" xfId="0" applyFont="1" applyBorder="1" applyAlignment="1">
      <alignment horizontal="center" vertical="top" textRotation="255"/>
    </xf>
    <xf numFmtId="0" fontId="75" fillId="0" borderId="23" xfId="0" applyFont="1" applyBorder="1" applyAlignment="1">
      <alignment horizontal="center" vertical="top"/>
    </xf>
    <xf numFmtId="0" fontId="75" fillId="0" borderId="0" xfId="0" applyFont="1" applyAlignment="1">
      <alignment horizontal="center" vertical="top"/>
    </xf>
    <xf numFmtId="0" fontId="75" fillId="0" borderId="16" xfId="0" applyFont="1" applyBorder="1" applyAlignment="1">
      <alignment horizontal="center" vertical="top"/>
    </xf>
    <xf numFmtId="20" fontId="68" fillId="0" borderId="3" xfId="0" applyNumberFormat="1" applyFont="1" applyBorder="1" applyAlignment="1">
      <alignment horizontal="center" vertical="center" shrinkToFit="1"/>
    </xf>
    <xf numFmtId="20" fontId="68" fillId="0" borderId="0" xfId="0" applyNumberFormat="1" applyFont="1" applyAlignment="1">
      <alignment horizontal="center" vertical="center" shrinkToFit="1"/>
    </xf>
    <xf numFmtId="20" fontId="68" fillId="0" borderId="16" xfId="0" applyNumberFormat="1" applyFont="1" applyBorder="1" applyAlignment="1">
      <alignment horizontal="center" vertical="center" shrinkToFit="1"/>
    </xf>
    <xf numFmtId="0" fontId="52" fillId="0" borderId="6" xfId="0" applyFont="1" applyBorder="1" applyAlignment="1">
      <alignment horizontal="left" vertical="center" shrinkToFit="1"/>
    </xf>
    <xf numFmtId="0" fontId="52" fillId="0" borderId="7" xfId="0" applyFont="1" applyBorder="1" applyAlignment="1">
      <alignment horizontal="left" vertical="center" shrinkToFit="1"/>
    </xf>
    <xf numFmtId="0" fontId="84" fillId="0" borderId="0" xfId="0" applyFont="1" applyAlignment="1">
      <alignment horizontal="left" vertical="center" shrinkToFit="1"/>
    </xf>
    <xf numFmtId="0" fontId="84" fillId="0" borderId="8" xfId="0" applyFont="1" applyBorder="1" applyAlignment="1">
      <alignment horizontal="left" vertical="center" shrinkToFit="1"/>
    </xf>
    <xf numFmtId="0" fontId="52" fillId="0" borderId="0" xfId="0" applyFont="1" applyAlignment="1">
      <alignment horizontal="left" vertical="center" shrinkToFit="1"/>
    </xf>
    <xf numFmtId="0" fontId="52" fillId="0" borderId="16" xfId="0" applyFont="1" applyBorder="1" applyAlignment="1">
      <alignment horizontal="left" vertical="center" shrinkToFit="1"/>
    </xf>
    <xf numFmtId="0" fontId="56" fillId="0" borderId="16" xfId="0" applyFont="1" applyBorder="1" applyAlignment="1">
      <alignment horizontal="left" vertical="center" shrinkToFit="1"/>
    </xf>
    <xf numFmtId="0" fontId="56" fillId="0" borderId="0" xfId="0" applyFont="1" applyAlignment="1">
      <alignment vertical="center" wrapText="1" shrinkToFit="1"/>
    </xf>
    <xf numFmtId="0" fontId="56" fillId="0" borderId="8" xfId="0" applyFont="1" applyBorder="1" applyAlignment="1">
      <alignment vertical="center" wrapText="1" shrinkToFit="1"/>
    </xf>
    <xf numFmtId="178" fontId="56" fillId="0" borderId="6" xfId="0" applyNumberFormat="1" applyFont="1" applyBorder="1" applyAlignment="1">
      <alignment horizontal="left" vertical="center" wrapText="1" shrinkToFit="1"/>
    </xf>
    <xf numFmtId="178" fontId="56" fillId="0" borderId="7" xfId="0" applyNumberFormat="1" applyFont="1" applyBorder="1" applyAlignment="1">
      <alignment horizontal="left" vertical="center" wrapText="1" shrinkToFit="1"/>
    </xf>
    <xf numFmtId="0" fontId="52" fillId="0" borderId="8" xfId="0" applyFont="1" applyBorder="1" applyAlignment="1">
      <alignment horizontal="left" vertical="center" shrinkToFit="1"/>
    </xf>
    <xf numFmtId="0" fontId="58" fillId="0" borderId="21" xfId="0" applyFont="1" applyBorder="1" applyAlignment="1">
      <alignment horizontal="center" vertical="center"/>
    </xf>
    <xf numFmtId="0" fontId="58" fillId="0" borderId="19" xfId="0" applyFont="1" applyBorder="1" applyAlignment="1">
      <alignment horizontal="center" vertical="center"/>
    </xf>
    <xf numFmtId="0" fontId="58" fillId="0" borderId="22" xfId="0" applyFont="1" applyBorder="1" applyAlignment="1">
      <alignment horizontal="center" vertical="center"/>
    </xf>
    <xf numFmtId="20" fontId="68" fillId="0" borderId="4" xfId="0" applyNumberFormat="1" applyFont="1" applyBorder="1" applyAlignment="1">
      <alignment horizontal="center" vertical="center" shrinkToFit="1"/>
    </xf>
    <xf numFmtId="20" fontId="68" fillId="0" borderId="6" xfId="0" applyNumberFormat="1" applyFont="1" applyBorder="1" applyAlignment="1">
      <alignment horizontal="center" vertical="center" shrinkToFit="1"/>
    </xf>
    <xf numFmtId="20" fontId="68" fillId="0" borderId="36" xfId="0" applyNumberFormat="1" applyFont="1" applyBorder="1" applyAlignment="1">
      <alignment horizontal="center" vertical="center" shrinkToFit="1"/>
    </xf>
    <xf numFmtId="0" fontId="58" fillId="0" borderId="20" xfId="0" applyFont="1" applyBorder="1" applyAlignment="1">
      <alignment horizontal="center" vertical="center"/>
    </xf>
    <xf numFmtId="20" fontId="69" fillId="0" borderId="0" xfId="0" applyNumberFormat="1" applyFont="1" applyAlignment="1">
      <alignment vertical="center" shrinkToFit="1"/>
    </xf>
    <xf numFmtId="20" fontId="69" fillId="0" borderId="6" xfId="0" applyNumberFormat="1" applyFont="1" applyBorder="1" applyAlignment="1">
      <alignment vertical="center" shrinkToFit="1"/>
    </xf>
    <xf numFmtId="0" fontId="74" fillId="0" borderId="0" xfId="0" applyFont="1" applyAlignment="1">
      <alignment horizontal="left" vertical="center" wrapText="1" shrinkToFit="1"/>
    </xf>
    <xf numFmtId="0" fontId="74" fillId="0" borderId="8" xfId="0" applyFont="1" applyBorder="1" applyAlignment="1">
      <alignment horizontal="left" vertical="center" wrapText="1" shrinkToFit="1"/>
    </xf>
    <xf numFmtId="0" fontId="76" fillId="0" borderId="6" xfId="0" applyFont="1" applyBorder="1" applyAlignment="1">
      <alignment horizontal="left" vertical="center" wrapText="1" shrinkToFit="1"/>
    </xf>
    <xf numFmtId="0" fontId="76" fillId="0" borderId="7" xfId="0" applyFont="1" applyBorder="1" applyAlignment="1">
      <alignment horizontal="left" vertical="center" wrapText="1" shrinkToFit="1"/>
    </xf>
    <xf numFmtId="0" fontId="76" fillId="0" borderId="0" xfId="0" applyFont="1" applyAlignment="1">
      <alignment horizontal="center" vertical="center" wrapText="1" shrinkToFit="1"/>
    </xf>
    <xf numFmtId="0" fontId="76" fillId="0" borderId="8" xfId="0" applyFont="1" applyBorder="1" applyAlignment="1">
      <alignment horizontal="center" vertical="center" wrapText="1" shrinkToFit="1"/>
    </xf>
    <xf numFmtId="0" fontId="57" fillId="0" borderId="17" xfId="0" applyFont="1" applyBorder="1" applyAlignment="1">
      <alignment horizontal="center" vertical="center" textRotation="255"/>
    </xf>
    <xf numFmtId="0" fontId="57" fillId="0" borderId="23" xfId="0" applyFont="1" applyBorder="1" applyAlignment="1">
      <alignment horizontal="center" vertical="center" textRotation="255"/>
    </xf>
    <xf numFmtId="0" fontId="58" fillId="0" borderId="18" xfId="0" applyFont="1" applyBorder="1" applyAlignment="1">
      <alignment horizontal="center" vertical="center"/>
    </xf>
    <xf numFmtId="178" fontId="61" fillId="0" borderId="3" xfId="0" applyNumberFormat="1" applyFont="1" applyBorder="1" applyAlignment="1">
      <alignment horizontal="center" vertical="center" wrapText="1" shrinkToFit="1"/>
    </xf>
    <xf numFmtId="178" fontId="62" fillId="0" borderId="0" xfId="0" applyNumberFormat="1" applyFont="1" applyAlignment="1">
      <alignment horizontal="center" vertical="center" wrapText="1" shrinkToFit="1"/>
    </xf>
    <xf numFmtId="178" fontId="62" fillId="0" borderId="8" xfId="0" applyNumberFormat="1" applyFont="1" applyBorder="1" applyAlignment="1">
      <alignment horizontal="center" vertical="center" wrapText="1" shrinkToFit="1"/>
    </xf>
    <xf numFmtId="178" fontId="62" fillId="0" borderId="4" xfId="0" applyNumberFormat="1" applyFont="1" applyBorder="1" applyAlignment="1">
      <alignment horizontal="center" vertical="center" wrapText="1" shrinkToFit="1"/>
    </xf>
    <xf numFmtId="178" fontId="62" fillId="0" borderId="6" xfId="0" applyNumberFormat="1" applyFont="1" applyBorder="1" applyAlignment="1">
      <alignment horizontal="center" vertical="center" wrapText="1" shrinkToFit="1"/>
    </xf>
    <xf numFmtId="178" fontId="62" fillId="0" borderId="7" xfId="0" applyNumberFormat="1" applyFont="1" applyBorder="1" applyAlignment="1">
      <alignment horizontal="center" vertical="center" wrapText="1" shrinkToFit="1"/>
    </xf>
    <xf numFmtId="176" fontId="60" fillId="0" borderId="23" xfId="0" applyNumberFormat="1" applyFont="1" applyBorder="1" applyAlignment="1">
      <alignment horizontal="center" vertical="center" wrapText="1" shrinkToFit="1"/>
    </xf>
    <xf numFmtId="176" fontId="60" fillId="0" borderId="0" xfId="0" applyNumberFormat="1" applyFont="1" applyAlignment="1">
      <alignment horizontal="center" vertical="center" wrapText="1" shrinkToFit="1"/>
    </xf>
    <xf numFmtId="176" fontId="60" fillId="0" borderId="8" xfId="0" applyNumberFormat="1" applyFont="1" applyBorder="1" applyAlignment="1">
      <alignment horizontal="center" vertical="center" wrapText="1" shrinkToFit="1"/>
    </xf>
    <xf numFmtId="176" fontId="60" fillId="0" borderId="24" xfId="0" applyNumberFormat="1" applyFont="1" applyBorder="1" applyAlignment="1">
      <alignment horizontal="center" vertical="center" wrapText="1" shrinkToFit="1"/>
    </xf>
    <xf numFmtId="176" fontId="60" fillId="0" borderId="6" xfId="0" applyNumberFormat="1" applyFont="1" applyBorder="1" applyAlignment="1">
      <alignment horizontal="center" vertical="center" wrapText="1" shrinkToFit="1"/>
    </xf>
    <xf numFmtId="176" fontId="60" fillId="0" borderId="7" xfId="0" applyNumberFormat="1" applyFont="1" applyBorder="1" applyAlignment="1">
      <alignment horizontal="center" vertical="center" wrapText="1" shrinkToFit="1"/>
    </xf>
    <xf numFmtId="176" fontId="60" fillId="0" borderId="3" xfId="0" applyNumberFormat="1" applyFont="1" applyBorder="1" applyAlignment="1">
      <alignment horizontal="center" vertical="center" wrapText="1" shrinkToFit="1"/>
    </xf>
    <xf numFmtId="176" fontId="60" fillId="0" borderId="4" xfId="0" applyNumberFormat="1" applyFont="1" applyBorder="1" applyAlignment="1">
      <alignment horizontal="center" vertical="center" wrapText="1" shrinkToFit="1"/>
    </xf>
    <xf numFmtId="178" fontId="69" fillId="0" borderId="3" xfId="0" applyNumberFormat="1" applyFont="1" applyBorder="1" applyAlignment="1">
      <alignment horizontal="center" vertical="center" wrapText="1" shrinkToFit="1"/>
    </xf>
    <xf numFmtId="178" fontId="69" fillId="0" borderId="0" xfId="0" applyNumberFormat="1" applyFont="1" applyAlignment="1">
      <alignment horizontal="center" vertical="center" wrapText="1" shrinkToFit="1"/>
    </xf>
    <xf numFmtId="178" fontId="69" fillId="0" borderId="8" xfId="0" applyNumberFormat="1" applyFont="1" applyBorder="1" applyAlignment="1">
      <alignment horizontal="center" vertical="center" wrapText="1" shrinkToFit="1"/>
    </xf>
    <xf numFmtId="178" fontId="69" fillId="0" borderId="4" xfId="0" applyNumberFormat="1" applyFont="1" applyBorder="1" applyAlignment="1">
      <alignment horizontal="center" vertical="center" wrapText="1" shrinkToFit="1"/>
    </xf>
    <xf numFmtId="178" fontId="69" fillId="0" borderId="6" xfId="0" applyNumberFormat="1" applyFont="1" applyBorder="1" applyAlignment="1">
      <alignment horizontal="center" vertical="center" wrapText="1" shrinkToFit="1"/>
    </xf>
    <xf numFmtId="178" fontId="69" fillId="0" borderId="7" xfId="0" applyNumberFormat="1" applyFont="1" applyBorder="1" applyAlignment="1">
      <alignment horizontal="center" vertical="center" wrapText="1" shrinkToFit="1"/>
    </xf>
    <xf numFmtId="0" fontId="76" fillId="0" borderId="0" xfId="0" applyFont="1" applyAlignment="1">
      <alignment vertical="center" wrapText="1" shrinkToFit="1"/>
    </xf>
    <xf numFmtId="0" fontId="76" fillId="0" borderId="8" xfId="0" applyFont="1" applyBorder="1" applyAlignment="1">
      <alignment vertical="center" wrapText="1" shrinkToFit="1"/>
    </xf>
    <xf numFmtId="0" fontId="0" fillId="5" borderId="0" xfId="0" applyFill="1" applyAlignment="1">
      <alignment horizontal="left" vertical="center" shrinkToFit="1"/>
    </xf>
    <xf numFmtId="0" fontId="11" fillId="5" borderId="0" xfId="0" applyFont="1" applyFill="1" applyAlignment="1">
      <alignment horizontal="left" vertical="center" shrinkToFit="1"/>
    </xf>
    <xf numFmtId="0" fontId="11" fillId="5" borderId="8" xfId="0" applyFont="1" applyFill="1" applyBorder="1" applyAlignment="1">
      <alignment horizontal="left" vertical="center" shrinkToFit="1"/>
    </xf>
    <xf numFmtId="0" fontId="26" fillId="2" borderId="0" xfId="0" applyFont="1" applyFill="1" applyAlignment="1">
      <alignment horizontal="left" vertical="center" shrinkToFit="1"/>
    </xf>
    <xf numFmtId="0" fontId="11" fillId="2" borderId="0" xfId="0" applyFont="1" applyFill="1" applyAlignment="1">
      <alignment horizontal="left" vertical="center" shrinkToFit="1"/>
    </xf>
    <xf numFmtId="0" fontId="11" fillId="2" borderId="8" xfId="0" applyFont="1" applyFill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11" fillId="0" borderId="8" xfId="0" applyFont="1" applyBorder="1" applyAlignment="1">
      <alignment horizontal="left" vertical="center" shrinkToFit="1"/>
    </xf>
    <xf numFmtId="176" fontId="22" fillId="0" borderId="5" xfId="0" applyNumberFormat="1" applyFont="1" applyBorder="1" applyAlignment="1">
      <alignment horizontal="center" vertical="center" wrapText="1" shrinkToFit="1"/>
    </xf>
    <xf numFmtId="176" fontId="22" fillId="0" borderId="1" xfId="0" applyNumberFormat="1" applyFont="1" applyBorder="1" applyAlignment="1">
      <alignment horizontal="center" vertical="center" wrapText="1" shrinkToFit="1"/>
    </xf>
    <xf numFmtId="176" fontId="22" fillId="0" borderId="2" xfId="0" applyNumberFormat="1" applyFont="1" applyBorder="1" applyAlignment="1">
      <alignment horizontal="center" vertical="center" wrapText="1" shrinkToFit="1"/>
    </xf>
    <xf numFmtId="176" fontId="22" fillId="0" borderId="3" xfId="0" applyNumberFormat="1" applyFont="1" applyBorder="1" applyAlignment="1">
      <alignment horizontal="center" vertical="center" wrapText="1" shrinkToFit="1"/>
    </xf>
    <xf numFmtId="176" fontId="22" fillId="0" borderId="0" xfId="0" applyNumberFormat="1" applyFont="1" applyAlignment="1">
      <alignment horizontal="center" vertical="center" wrapText="1" shrinkToFit="1"/>
    </xf>
    <xf numFmtId="176" fontId="22" fillId="0" borderId="8" xfId="0" applyNumberFormat="1" applyFont="1" applyBorder="1" applyAlignment="1">
      <alignment horizontal="center" vertical="center" wrapText="1" shrinkToFit="1"/>
    </xf>
    <xf numFmtId="176" fontId="22" fillId="0" borderId="4" xfId="0" applyNumberFormat="1" applyFont="1" applyBorder="1" applyAlignment="1">
      <alignment horizontal="center" vertical="center" wrapText="1" shrinkToFit="1"/>
    </xf>
    <xf numFmtId="176" fontId="22" fillId="0" borderId="6" xfId="0" applyNumberFormat="1" applyFont="1" applyBorder="1" applyAlignment="1">
      <alignment horizontal="center" vertical="center" wrapText="1" shrinkToFit="1"/>
    </xf>
    <xf numFmtId="176" fontId="22" fillId="0" borderId="7" xfId="0" applyNumberFormat="1" applyFont="1" applyBorder="1" applyAlignment="1">
      <alignment horizontal="center" vertical="center" wrapText="1" shrinkToFit="1"/>
    </xf>
    <xf numFmtId="0" fontId="11" fillId="3" borderId="0" xfId="0" applyFont="1" applyFill="1" applyAlignment="1">
      <alignment horizontal="left" vertical="center" shrinkToFit="1"/>
    </xf>
    <xf numFmtId="0" fontId="11" fillId="3" borderId="8" xfId="0" applyFont="1" applyFill="1" applyBorder="1" applyAlignment="1">
      <alignment horizontal="left" vertical="center" shrinkToFit="1"/>
    </xf>
    <xf numFmtId="0" fontId="0" fillId="0" borderId="0" xfId="0" applyAlignment="1">
      <alignment horizontal="left" vertical="center" shrinkToFit="1"/>
    </xf>
    <xf numFmtId="0" fontId="36" fillId="0" borderId="0" xfId="0" applyFont="1" applyAlignment="1">
      <alignment horizontal="left" vertical="center" shrinkToFit="1"/>
    </xf>
    <xf numFmtId="20" fontId="15" fillId="0" borderId="3" xfId="0" applyNumberFormat="1" applyFont="1" applyBorder="1" applyAlignment="1">
      <alignment horizontal="center" vertical="center" shrinkToFit="1"/>
    </xf>
    <xf numFmtId="20" fontId="15" fillId="0" borderId="0" xfId="0" applyNumberFormat="1" applyFont="1" applyAlignment="1">
      <alignment horizontal="center" vertical="center" shrinkToFit="1"/>
    </xf>
    <xf numFmtId="20" fontId="15" fillId="0" borderId="8" xfId="0" applyNumberFormat="1" applyFont="1" applyBorder="1" applyAlignment="1">
      <alignment horizontal="center" vertical="center" shrinkToFit="1"/>
    </xf>
    <xf numFmtId="0" fontId="12" fillId="0" borderId="0" xfId="0" applyFont="1" applyAlignment="1">
      <alignment horizontal="left" vertical="center" shrinkToFit="1"/>
    </xf>
    <xf numFmtId="0" fontId="12" fillId="0" borderId="8" xfId="0" applyFont="1" applyBorder="1" applyAlignment="1">
      <alignment horizontal="left" vertical="center" shrinkToFit="1"/>
    </xf>
    <xf numFmtId="0" fontId="11" fillId="7" borderId="0" xfId="0" applyFont="1" applyFill="1" applyAlignment="1">
      <alignment horizontal="left" vertical="center" shrinkToFit="1"/>
    </xf>
    <xf numFmtId="0" fontId="11" fillId="7" borderId="8" xfId="0" applyFont="1" applyFill="1" applyBorder="1" applyAlignment="1">
      <alignment horizontal="left" vertical="center" shrinkToFit="1"/>
    </xf>
    <xf numFmtId="0" fontId="25" fillId="7" borderId="0" xfId="0" applyFont="1" applyFill="1" applyAlignment="1">
      <alignment horizontal="left" vertical="center" shrinkToFit="1"/>
    </xf>
    <xf numFmtId="0" fontId="25" fillId="7" borderId="8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left" vertical="center" shrinkToFit="1"/>
    </xf>
    <xf numFmtId="0" fontId="0" fillId="7" borderId="0" xfId="0" applyFill="1" applyAlignment="1">
      <alignment horizontal="left" vertical="center" shrinkToFit="1"/>
    </xf>
    <xf numFmtId="176" fontId="19" fillId="0" borderId="0" xfId="0" applyNumberFormat="1" applyFont="1" applyAlignment="1">
      <alignment horizontal="left" vertical="center" shrinkToFit="1"/>
    </xf>
    <xf numFmtId="176" fontId="19" fillId="0" borderId="8" xfId="0" applyNumberFormat="1" applyFont="1" applyBorder="1" applyAlignment="1">
      <alignment horizontal="left" vertical="center" shrinkToFit="1"/>
    </xf>
    <xf numFmtId="0" fontId="0" fillId="8" borderId="0" xfId="0" applyFill="1" applyAlignment="1">
      <alignment horizontal="left" vertical="center" shrinkToFit="1"/>
    </xf>
    <xf numFmtId="0" fontId="11" fillId="8" borderId="0" xfId="0" applyFont="1" applyFill="1" applyAlignment="1">
      <alignment horizontal="left" vertical="center" shrinkToFit="1"/>
    </xf>
    <xf numFmtId="0" fontId="11" fillId="8" borderId="8" xfId="0" applyFont="1" applyFill="1" applyBorder="1" applyAlignment="1">
      <alignment horizontal="left" vertical="center" shrinkToFit="1"/>
    </xf>
    <xf numFmtId="0" fontId="11" fillId="0" borderId="6" xfId="0" applyFont="1" applyBorder="1" applyAlignment="1">
      <alignment horizontal="center" vertical="center" shrinkToFit="1"/>
    </xf>
    <xf numFmtId="0" fontId="11" fillId="0" borderId="7" xfId="0" applyFont="1" applyBorder="1" applyAlignment="1">
      <alignment horizontal="center" vertical="center" shrinkToFit="1"/>
    </xf>
    <xf numFmtId="0" fontId="40" fillId="0" borderId="0" xfId="0" applyFont="1" applyAlignment="1">
      <alignment horizontal="left" vertical="center" shrinkToFit="1"/>
    </xf>
    <xf numFmtId="0" fontId="39" fillId="0" borderId="0" xfId="0" applyFont="1" applyAlignment="1">
      <alignment horizontal="left" vertical="center" shrinkToFit="1"/>
    </xf>
    <xf numFmtId="0" fontId="39" fillId="0" borderId="8" xfId="0" applyFont="1" applyBorder="1" applyAlignment="1">
      <alignment horizontal="left" vertical="center" shrinkToFit="1"/>
    </xf>
    <xf numFmtId="176" fontId="0" fillId="0" borderId="0" xfId="0" applyNumberFormat="1" applyAlignment="1">
      <alignment horizontal="left" vertical="center" shrinkToFit="1"/>
    </xf>
    <xf numFmtId="0" fontId="46" fillId="9" borderId="0" xfId="0" applyFont="1" applyFill="1" applyAlignment="1">
      <alignment horizontal="left" vertical="center" shrinkToFit="1"/>
    </xf>
    <xf numFmtId="0" fontId="46" fillId="9" borderId="8" xfId="0" applyFont="1" applyFill="1" applyBorder="1" applyAlignment="1">
      <alignment horizontal="left" vertical="center" shrinkToFit="1"/>
    </xf>
    <xf numFmtId="176" fontId="17" fillId="0" borderId="5" xfId="0" applyNumberFormat="1" applyFont="1" applyBorder="1" applyAlignment="1">
      <alignment horizontal="center" vertical="center" wrapText="1" shrinkToFit="1"/>
    </xf>
    <xf numFmtId="176" fontId="19" fillId="0" borderId="1" xfId="0" applyNumberFormat="1" applyFont="1" applyBorder="1" applyAlignment="1">
      <alignment horizontal="center" vertical="center" shrinkToFit="1"/>
    </xf>
    <xf numFmtId="176" fontId="19" fillId="0" borderId="2" xfId="0" applyNumberFormat="1" applyFont="1" applyBorder="1" applyAlignment="1">
      <alignment horizontal="center" vertical="center" shrinkToFit="1"/>
    </xf>
    <xf numFmtId="176" fontId="19" fillId="0" borderId="3" xfId="0" applyNumberFormat="1" applyFont="1" applyBorder="1" applyAlignment="1">
      <alignment horizontal="center" vertical="center" shrinkToFit="1"/>
    </xf>
    <xf numFmtId="176" fontId="19" fillId="0" borderId="0" xfId="0" applyNumberFormat="1" applyFont="1" applyAlignment="1">
      <alignment horizontal="center" vertical="center" shrinkToFit="1"/>
    </xf>
    <xf numFmtId="176" fontId="19" fillId="0" borderId="8" xfId="0" applyNumberFormat="1" applyFont="1" applyBorder="1" applyAlignment="1">
      <alignment horizontal="center" vertical="center" shrinkToFit="1"/>
    </xf>
    <xf numFmtId="176" fontId="19" fillId="0" borderId="4" xfId="0" applyNumberFormat="1" applyFont="1" applyBorder="1" applyAlignment="1">
      <alignment horizontal="center" vertical="center" shrinkToFit="1"/>
    </xf>
    <xf numFmtId="176" fontId="19" fillId="0" borderId="6" xfId="0" applyNumberFormat="1" applyFont="1" applyBorder="1" applyAlignment="1">
      <alignment horizontal="center" vertical="center" shrinkToFit="1"/>
    </xf>
    <xf numFmtId="176" fontId="19" fillId="0" borderId="7" xfId="0" applyNumberFormat="1" applyFont="1" applyBorder="1" applyAlignment="1">
      <alignment horizontal="center" vertical="center" shrinkToFit="1"/>
    </xf>
    <xf numFmtId="0" fontId="0" fillId="6" borderId="0" xfId="0" applyFill="1" applyAlignment="1">
      <alignment horizontal="left" vertical="center" shrinkToFit="1"/>
    </xf>
    <xf numFmtId="0" fontId="11" fillId="6" borderId="0" xfId="0" applyFont="1" applyFill="1" applyAlignment="1">
      <alignment horizontal="left" vertical="center" shrinkToFit="1"/>
    </xf>
    <xf numFmtId="0" fontId="11" fillId="6" borderId="8" xfId="0" applyFont="1" applyFill="1" applyBorder="1" applyAlignment="1">
      <alignment horizontal="left" vertical="center" shrinkToFit="1"/>
    </xf>
    <xf numFmtId="0" fontId="26" fillId="0" borderId="0" xfId="0" applyFont="1" applyAlignment="1">
      <alignment horizontal="left" vertical="center" shrinkToFit="1"/>
    </xf>
    <xf numFmtId="0" fontId="11" fillId="0" borderId="16" xfId="0" applyFont="1" applyBorder="1" applyAlignment="1">
      <alignment horizontal="left" vertical="center" shrinkToFit="1"/>
    </xf>
    <xf numFmtId="0" fontId="37" fillId="0" borderId="0" xfId="0" applyFont="1" applyAlignment="1">
      <alignment horizontal="left" vertical="center" shrinkToFit="1"/>
    </xf>
    <xf numFmtId="0" fontId="37" fillId="0" borderId="8" xfId="0" applyFont="1" applyBorder="1" applyAlignment="1">
      <alignment horizontal="left" vertical="center" shrinkToFit="1"/>
    </xf>
    <xf numFmtId="0" fontId="44" fillId="0" borderId="0" xfId="0" applyFont="1" applyAlignment="1">
      <alignment horizontal="left" vertical="center" shrinkToFit="1"/>
    </xf>
    <xf numFmtId="0" fontId="42" fillId="0" borderId="0" xfId="0" applyFont="1" applyAlignment="1">
      <alignment horizontal="left" vertical="center" shrinkToFit="1"/>
    </xf>
    <xf numFmtId="0" fontId="42" fillId="0" borderId="8" xfId="0" applyFont="1" applyBorder="1" applyAlignment="1">
      <alignment horizontal="left" vertical="center" shrinkToFit="1"/>
    </xf>
    <xf numFmtId="0" fontId="9" fillId="0" borderId="9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 shrinkToFit="1"/>
    </xf>
    <xf numFmtId="0" fontId="14" fillId="0" borderId="8" xfId="0" applyFont="1" applyBorder="1" applyAlignment="1">
      <alignment horizontal="center" vertical="center" shrinkToFit="1"/>
    </xf>
    <xf numFmtId="0" fontId="0" fillId="3" borderId="0" xfId="0" applyFill="1" applyAlignment="1">
      <alignment horizontal="left" vertical="center" shrinkToFit="1"/>
    </xf>
    <xf numFmtId="0" fontId="0" fillId="3" borderId="8" xfId="0" applyFill="1" applyBorder="1" applyAlignment="1">
      <alignment horizontal="left" vertical="center" shrinkToFit="1"/>
    </xf>
    <xf numFmtId="0" fontId="26" fillId="5" borderId="0" xfId="0" applyFont="1" applyFill="1" applyAlignment="1">
      <alignment horizontal="left" vertical="center" shrinkToFit="1"/>
    </xf>
    <xf numFmtId="0" fontId="26" fillId="5" borderId="8" xfId="0" applyFont="1" applyFill="1" applyBorder="1" applyAlignment="1">
      <alignment horizontal="left" vertical="center" shrinkToFit="1"/>
    </xf>
    <xf numFmtId="178" fontId="3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left" vertical="center" wrapText="1" shrinkToFit="1"/>
    </xf>
    <xf numFmtId="0" fontId="11" fillId="0" borderId="0" xfId="0" applyFont="1" applyAlignment="1">
      <alignment horizontal="left" vertical="center" wrapText="1" shrinkToFit="1"/>
    </xf>
    <xf numFmtId="0" fontId="11" fillId="0" borderId="8" xfId="0" applyFont="1" applyBorder="1" applyAlignment="1">
      <alignment horizontal="left" vertical="center" wrapText="1" shrinkToFit="1"/>
    </xf>
    <xf numFmtId="0" fontId="5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0" fillId="0" borderId="10" xfId="0" applyFont="1" applyBorder="1" applyAlignment="1">
      <alignment horizontal="center" vertical="center" textRotation="255"/>
    </xf>
    <xf numFmtId="0" fontId="10" fillId="0" borderId="11" xfId="0" applyFont="1" applyBorder="1" applyAlignment="1">
      <alignment horizontal="center" vertical="center" textRotation="255"/>
    </xf>
    <xf numFmtId="0" fontId="10" fillId="0" borderId="3" xfId="0" applyFont="1" applyBorder="1" applyAlignment="1">
      <alignment horizontal="center" vertical="center" textRotation="255"/>
    </xf>
    <xf numFmtId="0" fontId="0" fillId="9" borderId="0" xfId="0" applyFill="1" applyAlignment="1">
      <alignment horizontal="left" vertical="center" shrinkToFit="1"/>
    </xf>
    <xf numFmtId="0" fontId="0" fillId="9" borderId="8" xfId="0" applyFill="1" applyBorder="1" applyAlignment="1">
      <alignment horizontal="left" vertical="center" shrinkToFit="1"/>
    </xf>
    <xf numFmtId="178" fontId="3" fillId="0" borderId="1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 wrapText="1" shrinkToFit="1"/>
    </xf>
    <xf numFmtId="178" fontId="35" fillId="0" borderId="3" xfId="0" applyNumberFormat="1" applyFont="1" applyBorder="1" applyAlignment="1">
      <alignment horizontal="center" vertical="center" wrapText="1" shrinkToFit="1"/>
    </xf>
    <xf numFmtId="178" fontId="32" fillId="0" borderId="0" xfId="0" applyNumberFormat="1" applyFont="1" applyAlignment="1">
      <alignment horizontal="center" vertical="center" wrapText="1" shrinkToFit="1"/>
    </xf>
    <xf numFmtId="178" fontId="32" fillId="0" borderId="8" xfId="0" applyNumberFormat="1" applyFont="1" applyBorder="1" applyAlignment="1">
      <alignment horizontal="center" vertical="center" wrapText="1" shrinkToFit="1"/>
    </xf>
    <xf numFmtId="178" fontId="32" fillId="0" borderId="3" xfId="0" applyNumberFormat="1" applyFont="1" applyBorder="1" applyAlignment="1">
      <alignment horizontal="center" vertical="center" wrapText="1" shrinkToFit="1"/>
    </xf>
    <xf numFmtId="178" fontId="32" fillId="0" borderId="4" xfId="0" applyNumberFormat="1" applyFont="1" applyBorder="1" applyAlignment="1">
      <alignment horizontal="center" vertical="center" wrapText="1" shrinkToFit="1"/>
    </xf>
    <xf numFmtId="178" fontId="32" fillId="0" borderId="6" xfId="0" applyNumberFormat="1" applyFont="1" applyBorder="1" applyAlignment="1">
      <alignment horizontal="center" vertical="center" wrapText="1" shrinkToFit="1"/>
    </xf>
    <xf numFmtId="178" fontId="32" fillId="0" borderId="7" xfId="0" applyNumberFormat="1" applyFont="1" applyBorder="1" applyAlignment="1">
      <alignment horizontal="center" vertical="center" wrapText="1" shrinkToFit="1"/>
    </xf>
    <xf numFmtId="0" fontId="10" fillId="0" borderId="11" xfId="0" applyFont="1" applyBorder="1" applyAlignment="1">
      <alignment horizontal="center" vertical="top" textRotation="255"/>
    </xf>
    <xf numFmtId="0" fontId="10" fillId="0" borderId="3" xfId="0" applyFont="1" applyBorder="1" applyAlignment="1">
      <alignment horizontal="center" vertical="top" textRotation="255"/>
    </xf>
    <xf numFmtId="0" fontId="10" fillId="0" borderId="12" xfId="0" applyFont="1" applyBorder="1" applyAlignment="1">
      <alignment horizontal="center" vertical="top" textRotation="255"/>
    </xf>
    <xf numFmtId="0" fontId="25" fillId="0" borderId="0" xfId="0" applyFont="1" applyAlignment="1">
      <alignment horizontal="left" vertical="center" shrinkToFit="1"/>
    </xf>
    <xf numFmtId="0" fontId="3" fillId="0" borderId="8" xfId="0" applyFont="1" applyBorder="1" applyAlignment="1">
      <alignment horizontal="left" vertical="center" wrapText="1" shrinkToFit="1"/>
    </xf>
    <xf numFmtId="0" fontId="30" fillId="3" borderId="0" xfId="0" applyFont="1" applyFill="1" applyAlignment="1">
      <alignment horizontal="left" vertical="center" wrapText="1" shrinkToFit="1"/>
    </xf>
    <xf numFmtId="0" fontId="30" fillId="3" borderId="8" xfId="0" applyFont="1" applyFill="1" applyBorder="1" applyAlignment="1">
      <alignment horizontal="left" vertical="center" wrapText="1" shrinkToFit="1"/>
    </xf>
    <xf numFmtId="176" fontId="24" fillId="0" borderId="5" xfId="0" applyNumberFormat="1" applyFont="1" applyBorder="1" applyAlignment="1">
      <alignment horizontal="center" vertical="center" wrapText="1" shrinkToFit="1"/>
    </xf>
    <xf numFmtId="176" fontId="24" fillId="0" borderId="1" xfId="0" applyNumberFormat="1" applyFont="1" applyBorder="1" applyAlignment="1">
      <alignment horizontal="center" vertical="center" wrapText="1" shrinkToFit="1"/>
    </xf>
    <xf numFmtId="176" fontId="24" fillId="0" borderId="2" xfId="0" applyNumberFormat="1" applyFont="1" applyBorder="1" applyAlignment="1">
      <alignment horizontal="center" vertical="center" wrapText="1" shrinkToFit="1"/>
    </xf>
    <xf numFmtId="176" fontId="24" fillId="0" borderId="3" xfId="0" applyNumberFormat="1" applyFont="1" applyBorder="1" applyAlignment="1">
      <alignment horizontal="center" vertical="center" wrapText="1" shrinkToFit="1"/>
    </xf>
    <xf numFmtId="176" fontId="24" fillId="0" borderId="0" xfId="0" applyNumberFormat="1" applyFont="1" applyAlignment="1">
      <alignment horizontal="center" vertical="center" wrapText="1" shrinkToFit="1"/>
    </xf>
    <xf numFmtId="176" fontId="24" fillId="0" borderId="8" xfId="0" applyNumberFormat="1" applyFont="1" applyBorder="1" applyAlignment="1">
      <alignment horizontal="center" vertical="center" wrapText="1" shrinkToFit="1"/>
    </xf>
    <xf numFmtId="176" fontId="24" fillId="0" borderId="4" xfId="0" applyNumberFormat="1" applyFont="1" applyBorder="1" applyAlignment="1">
      <alignment horizontal="center" vertical="center" wrapText="1" shrinkToFit="1"/>
    </xf>
    <xf numFmtId="176" fontId="24" fillId="0" borderId="6" xfId="0" applyNumberFormat="1" applyFont="1" applyBorder="1" applyAlignment="1">
      <alignment horizontal="center" vertical="center" wrapText="1" shrinkToFit="1"/>
    </xf>
    <xf numFmtId="176" fontId="24" fillId="0" borderId="7" xfId="0" applyNumberFormat="1" applyFont="1" applyBorder="1" applyAlignment="1">
      <alignment horizontal="center" vertical="center" wrapText="1" shrinkToFit="1"/>
    </xf>
    <xf numFmtId="0" fontId="3" fillId="0" borderId="8" xfId="0" applyFont="1" applyBorder="1" applyAlignment="1">
      <alignment horizontal="left" vertical="center" shrinkToFit="1"/>
    </xf>
    <xf numFmtId="0" fontId="36" fillId="0" borderId="8" xfId="0" applyFont="1" applyBorder="1" applyAlignment="1">
      <alignment horizontal="left" vertical="center" shrinkToFit="1"/>
    </xf>
    <xf numFmtId="0" fontId="3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 shrinkToFit="1"/>
    </xf>
    <xf numFmtId="0" fontId="29" fillId="0" borderId="0" xfId="0" applyFont="1" applyAlignment="1">
      <alignment horizontal="left" vertical="center" shrinkToFit="1"/>
    </xf>
    <xf numFmtId="0" fontId="29" fillId="0" borderId="8" xfId="0" applyFont="1" applyBorder="1" applyAlignment="1">
      <alignment horizontal="left" vertical="center" shrinkToFit="1"/>
    </xf>
    <xf numFmtId="0" fontId="0" fillId="4" borderId="0" xfId="0" applyFill="1" applyAlignment="1">
      <alignment horizontal="left" vertical="center" shrinkToFit="1"/>
    </xf>
    <xf numFmtId="0" fontId="11" fillId="4" borderId="0" xfId="0" applyFont="1" applyFill="1" applyAlignment="1">
      <alignment horizontal="left" vertical="center" shrinkToFit="1"/>
    </xf>
    <xf numFmtId="0" fontId="11" fillId="4" borderId="8" xfId="0" applyFont="1" applyFill="1" applyBorder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36" fillId="6" borderId="0" xfId="0" applyFont="1" applyFill="1" applyAlignment="1">
      <alignment horizontal="left" vertical="center" shrinkToFit="1"/>
    </xf>
    <xf numFmtId="0" fontId="6" fillId="0" borderId="0" xfId="0" applyFont="1" applyAlignment="1">
      <alignment horizontal="left" vertical="center" wrapText="1" shrinkToFit="1"/>
    </xf>
    <xf numFmtId="0" fontId="52" fillId="0" borderId="0" xfId="0" applyFont="1" applyAlignment="1">
      <alignment vertical="center" wrapText="1" shrinkToFit="1"/>
    </xf>
    <xf numFmtId="0" fontId="52" fillId="0" borderId="16" xfId="0" applyFont="1" applyBorder="1" applyAlignment="1">
      <alignment vertical="center" wrapText="1" shrinkToFit="1"/>
    </xf>
    <xf numFmtId="0" fontId="69" fillId="0" borderId="0" xfId="0" applyFont="1" applyAlignment="1">
      <alignment horizontal="center" vertical="center" shrinkToFit="1"/>
    </xf>
    <xf numFmtId="0" fontId="69" fillId="0" borderId="16" xfId="0" applyFont="1" applyBorder="1" applyAlignment="1">
      <alignment horizontal="center" vertical="center" shrinkToFit="1"/>
    </xf>
    <xf numFmtId="0" fontId="69" fillId="0" borderId="3" xfId="0" applyFont="1" applyBorder="1" applyAlignment="1">
      <alignment horizontal="center"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8F2FE"/>
      <color rgb="FF9AFC9F"/>
      <color rgb="FFFFCCFF"/>
      <color rgb="FFCCFF33"/>
      <color rgb="FFFFCC00"/>
      <color rgb="FFC789FB"/>
      <color rgb="FFFFFF66"/>
      <color rgb="FFFFFFCC"/>
      <color rgb="FFF5F9DD"/>
      <color rgb="FFF982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475C-7592-45D0-B491-7527F29B9008}">
  <sheetPr>
    <pageSetUpPr fitToPage="1"/>
  </sheetPr>
  <dimension ref="A1:XCW72"/>
  <sheetViews>
    <sheetView tabSelected="1" view="pageBreakPreview" zoomScaleNormal="100" zoomScaleSheetLayoutView="100" workbookViewId="0">
      <selection activeCell="L27" sqref="L27"/>
    </sheetView>
  </sheetViews>
  <sheetFormatPr defaultColWidth="3.375" defaultRowHeight="15" customHeight="1" x14ac:dyDescent="0.25"/>
  <cols>
    <col min="1" max="1" width="5.125" style="72" customWidth="1"/>
    <col min="2" max="2" width="5.625" style="165" customWidth="1"/>
    <col min="3" max="3" width="3.125" style="73" customWidth="1"/>
    <col min="4" max="5" width="8.125" style="68" customWidth="1"/>
    <col min="6" max="6" width="7.5" style="68" customWidth="1"/>
    <col min="7" max="7" width="5.625" style="175" customWidth="1"/>
    <col min="8" max="8" width="3.125" style="68" customWidth="1"/>
    <col min="9" max="10" width="8.125" style="68" customWidth="1"/>
    <col min="11" max="11" width="7.5" style="68" customWidth="1"/>
    <col min="12" max="12" width="5.625" style="165" customWidth="1"/>
    <col min="13" max="13" width="3.375" style="74" customWidth="1"/>
    <col min="14" max="15" width="8.125" style="68" customWidth="1"/>
    <col min="16" max="16" width="7.5" style="68" customWidth="1"/>
    <col min="17" max="17" width="5.625" style="165" customWidth="1"/>
    <col min="18" max="18" width="3.125" style="68" customWidth="1"/>
    <col min="19" max="20" width="8.125" style="68" customWidth="1"/>
    <col min="21" max="21" width="7.5" style="68" customWidth="1"/>
    <col min="22" max="22" width="5.625" style="165" customWidth="1"/>
    <col min="23" max="23" width="3.125" style="68" customWidth="1"/>
    <col min="24" max="25" width="8.125" style="68" customWidth="1"/>
    <col min="26" max="26" width="7.5" style="68" customWidth="1"/>
    <col min="27" max="27" width="5.625" style="165" customWidth="1"/>
    <col min="28" max="28" width="3.125" style="68" customWidth="1"/>
    <col min="29" max="29" width="8.125" style="68" customWidth="1"/>
    <col min="30" max="30" width="9.125" style="68" customWidth="1"/>
    <col min="31" max="34" width="5.625" style="68" customWidth="1"/>
    <col min="35" max="16384" width="3.375" style="71"/>
  </cols>
  <sheetData>
    <row r="1" spans="1:30" s="68" customFormat="1" ht="21" customHeight="1" thickBot="1" x14ac:dyDescent="0.3">
      <c r="A1" s="251" t="s">
        <v>9</v>
      </c>
      <c r="B1" s="253" t="s">
        <v>7</v>
      </c>
      <c r="C1" s="237"/>
      <c r="D1" s="237"/>
      <c r="E1" s="237"/>
      <c r="F1" s="242"/>
      <c r="G1" s="236" t="s">
        <v>0</v>
      </c>
      <c r="H1" s="237"/>
      <c r="I1" s="237"/>
      <c r="J1" s="237"/>
      <c r="K1" s="242"/>
      <c r="L1" s="236" t="s">
        <v>1</v>
      </c>
      <c r="M1" s="237"/>
      <c r="N1" s="237"/>
      <c r="O1" s="237"/>
      <c r="P1" s="242"/>
      <c r="Q1" s="236" t="s">
        <v>2</v>
      </c>
      <c r="R1" s="237"/>
      <c r="S1" s="237"/>
      <c r="T1" s="237"/>
      <c r="U1" s="242"/>
      <c r="V1" s="236" t="s">
        <v>3</v>
      </c>
      <c r="W1" s="237"/>
      <c r="X1" s="237"/>
      <c r="Y1" s="237"/>
      <c r="Z1" s="242"/>
      <c r="AA1" s="236" t="s">
        <v>4</v>
      </c>
      <c r="AB1" s="237"/>
      <c r="AC1" s="237"/>
      <c r="AD1" s="238"/>
    </row>
    <row r="2" spans="1:30" s="68" customFormat="1" ht="16.149999999999999" customHeight="1" x14ac:dyDescent="0.25">
      <c r="A2" s="252"/>
      <c r="B2" s="159"/>
      <c r="C2" s="78"/>
      <c r="D2" s="79"/>
      <c r="E2" s="80"/>
      <c r="F2" s="80"/>
      <c r="G2" s="166"/>
      <c r="H2" s="81"/>
      <c r="I2" s="82"/>
      <c r="J2" s="82"/>
      <c r="K2" s="83"/>
      <c r="L2" s="166"/>
      <c r="M2" s="81"/>
      <c r="N2" s="82"/>
      <c r="O2" s="82"/>
      <c r="P2" s="83"/>
      <c r="Q2" s="166"/>
      <c r="R2" s="81"/>
      <c r="S2" s="82"/>
      <c r="T2" s="82"/>
      <c r="U2" s="83"/>
      <c r="V2" s="166"/>
      <c r="W2" s="81"/>
      <c r="X2" s="82"/>
      <c r="Y2" s="82"/>
      <c r="Z2" s="83"/>
      <c r="AA2" s="166">
        <v>45962</v>
      </c>
      <c r="AB2" s="81"/>
      <c r="AC2" s="82"/>
      <c r="AD2" s="84" t="str">
        <f>_xll.XGToL(AA2,"日")</f>
        <v>十二</v>
      </c>
    </row>
    <row r="3" spans="1:30" s="68" customFormat="1" ht="16.149999999999999" customHeight="1" x14ac:dyDescent="0.25">
      <c r="A3" s="252"/>
      <c r="B3" s="260"/>
      <c r="C3" s="261"/>
      <c r="D3" s="261"/>
      <c r="E3" s="261"/>
      <c r="F3" s="262"/>
      <c r="G3" s="254"/>
      <c r="H3" s="255"/>
      <c r="I3" s="255"/>
      <c r="J3" s="255"/>
      <c r="K3" s="256"/>
      <c r="L3" s="266" t="s">
        <v>212</v>
      </c>
      <c r="M3" s="261"/>
      <c r="N3" s="261"/>
      <c r="O3" s="261"/>
      <c r="P3" s="262"/>
      <c r="Q3" s="268" t="s">
        <v>125</v>
      </c>
      <c r="R3" s="269"/>
      <c r="S3" s="269"/>
      <c r="T3" s="269"/>
      <c r="U3" s="270"/>
      <c r="V3" s="169"/>
      <c r="W3" s="88" t="s">
        <v>116</v>
      </c>
      <c r="X3" s="243" t="s">
        <v>117</v>
      </c>
      <c r="Y3" s="243"/>
      <c r="Z3" s="89"/>
      <c r="AA3" s="182">
        <v>0.375</v>
      </c>
      <c r="AB3" s="90"/>
      <c r="AC3" s="192" t="s">
        <v>10</v>
      </c>
      <c r="AD3" s="230"/>
    </row>
    <row r="4" spans="1:30" s="68" customFormat="1" ht="16.149999999999999" customHeight="1" x14ac:dyDescent="0.25">
      <c r="A4" s="252"/>
      <c r="B4" s="260"/>
      <c r="C4" s="261"/>
      <c r="D4" s="261"/>
      <c r="E4" s="261"/>
      <c r="F4" s="262"/>
      <c r="G4" s="254"/>
      <c r="H4" s="255"/>
      <c r="I4" s="255"/>
      <c r="J4" s="255"/>
      <c r="K4" s="256"/>
      <c r="L4" s="266"/>
      <c r="M4" s="261"/>
      <c r="N4" s="261"/>
      <c r="O4" s="261"/>
      <c r="P4" s="262"/>
      <c r="Q4" s="268"/>
      <c r="R4" s="269"/>
      <c r="S4" s="269"/>
      <c r="T4" s="269"/>
      <c r="U4" s="270"/>
      <c r="V4" s="169"/>
      <c r="W4" s="91" t="s">
        <v>112</v>
      </c>
      <c r="X4" s="243" t="s">
        <v>118</v>
      </c>
      <c r="Y4" s="243"/>
      <c r="Z4" s="89"/>
      <c r="AA4" s="403" t="s">
        <v>214</v>
      </c>
      <c r="AB4" s="401"/>
      <c r="AC4" s="401"/>
      <c r="AD4" s="402"/>
    </row>
    <row r="5" spans="1:30" s="68" customFormat="1" ht="16.149999999999999" customHeight="1" x14ac:dyDescent="0.25">
      <c r="A5" s="252"/>
      <c r="B5" s="260"/>
      <c r="C5" s="261"/>
      <c r="D5" s="261"/>
      <c r="E5" s="261"/>
      <c r="F5" s="262"/>
      <c r="G5" s="254"/>
      <c r="H5" s="255"/>
      <c r="I5" s="255"/>
      <c r="J5" s="255"/>
      <c r="K5" s="256"/>
      <c r="L5" s="266"/>
      <c r="M5" s="261"/>
      <c r="N5" s="261"/>
      <c r="O5" s="261"/>
      <c r="P5" s="262"/>
      <c r="Q5" s="268"/>
      <c r="R5" s="269"/>
      <c r="S5" s="269"/>
      <c r="T5" s="269"/>
      <c r="U5" s="270"/>
      <c r="V5" s="169"/>
      <c r="W5" s="88" t="s">
        <v>114</v>
      </c>
      <c r="X5" s="243" t="s">
        <v>119</v>
      </c>
      <c r="Y5" s="243"/>
      <c r="Z5" s="89"/>
      <c r="AA5" s="403"/>
      <c r="AB5" s="401"/>
      <c r="AC5" s="401"/>
      <c r="AD5" s="402"/>
    </row>
    <row r="6" spans="1:30" s="68" customFormat="1" ht="16.149999999999999" customHeight="1" x14ac:dyDescent="0.25">
      <c r="A6" s="252"/>
      <c r="B6" s="260"/>
      <c r="C6" s="261"/>
      <c r="D6" s="261"/>
      <c r="E6" s="261"/>
      <c r="F6" s="262"/>
      <c r="G6" s="254"/>
      <c r="H6" s="255"/>
      <c r="I6" s="255"/>
      <c r="J6" s="255"/>
      <c r="K6" s="256"/>
      <c r="L6" s="266"/>
      <c r="M6" s="261"/>
      <c r="N6" s="261"/>
      <c r="O6" s="261"/>
      <c r="P6" s="262"/>
      <c r="Q6" s="268"/>
      <c r="R6" s="269"/>
      <c r="S6" s="269"/>
      <c r="T6" s="269"/>
      <c r="U6" s="270"/>
      <c r="V6" s="169"/>
      <c r="W6" s="93" t="s">
        <v>110</v>
      </c>
      <c r="X6" s="243" t="s">
        <v>120</v>
      </c>
      <c r="Y6" s="243"/>
      <c r="Z6" s="89"/>
      <c r="AA6" s="183"/>
      <c r="AB6" s="94"/>
      <c r="AC6" s="399"/>
      <c r="AD6" s="400"/>
    </row>
    <row r="7" spans="1:30" s="68" customFormat="1" ht="16.149999999999999" customHeight="1" x14ac:dyDescent="0.25">
      <c r="A7" s="252"/>
      <c r="B7" s="260"/>
      <c r="C7" s="261"/>
      <c r="D7" s="261"/>
      <c r="E7" s="261"/>
      <c r="F7" s="262"/>
      <c r="G7" s="254"/>
      <c r="H7" s="255"/>
      <c r="I7" s="255"/>
      <c r="J7" s="255"/>
      <c r="K7" s="256"/>
      <c r="L7" s="266"/>
      <c r="M7" s="261"/>
      <c r="N7" s="261"/>
      <c r="O7" s="261"/>
      <c r="P7" s="262"/>
      <c r="Q7" s="268"/>
      <c r="R7" s="269"/>
      <c r="S7" s="269"/>
      <c r="T7" s="269"/>
      <c r="U7" s="270"/>
      <c r="V7" s="169"/>
      <c r="W7" s="95" t="s">
        <v>111</v>
      </c>
      <c r="X7" s="243" t="s">
        <v>121</v>
      </c>
      <c r="Y7" s="243"/>
      <c r="Z7" s="89"/>
      <c r="AA7" s="221" t="s">
        <v>5</v>
      </c>
      <c r="AB7" s="222"/>
      <c r="AC7" s="222"/>
      <c r="AD7" s="223"/>
    </row>
    <row r="8" spans="1:30" s="68" customFormat="1" ht="16.149999999999999" customHeight="1" x14ac:dyDescent="0.25">
      <c r="A8" s="252"/>
      <c r="B8" s="260"/>
      <c r="C8" s="261"/>
      <c r="D8" s="261"/>
      <c r="E8" s="261"/>
      <c r="F8" s="262"/>
      <c r="G8" s="254"/>
      <c r="H8" s="255"/>
      <c r="I8" s="255"/>
      <c r="J8" s="255"/>
      <c r="K8" s="256"/>
      <c r="L8" s="266"/>
      <c r="M8" s="261"/>
      <c r="N8" s="261"/>
      <c r="O8" s="261"/>
      <c r="P8" s="262"/>
      <c r="Q8" s="268"/>
      <c r="R8" s="269"/>
      <c r="S8" s="269"/>
      <c r="T8" s="269"/>
      <c r="U8" s="270"/>
      <c r="V8" s="179"/>
      <c r="W8" s="98" t="s">
        <v>122</v>
      </c>
      <c r="X8" s="243" t="s">
        <v>123</v>
      </c>
      <c r="Y8" s="243"/>
      <c r="Z8" s="99"/>
      <c r="AA8" s="222"/>
      <c r="AB8" s="222"/>
      <c r="AC8" s="222"/>
      <c r="AD8" s="223"/>
    </row>
    <row r="9" spans="1:30" s="68" customFormat="1" ht="16.149999999999999" customHeight="1" x14ac:dyDescent="0.25">
      <c r="A9" s="252"/>
      <c r="B9" s="263"/>
      <c r="C9" s="264"/>
      <c r="D9" s="264"/>
      <c r="E9" s="264"/>
      <c r="F9" s="265"/>
      <c r="G9" s="257"/>
      <c r="H9" s="258"/>
      <c r="I9" s="258"/>
      <c r="J9" s="258"/>
      <c r="K9" s="259"/>
      <c r="L9" s="267"/>
      <c r="M9" s="264"/>
      <c r="N9" s="264"/>
      <c r="O9" s="264"/>
      <c r="P9" s="265"/>
      <c r="Q9" s="271"/>
      <c r="R9" s="272"/>
      <c r="S9" s="272"/>
      <c r="T9" s="272"/>
      <c r="U9" s="273"/>
      <c r="V9" s="180"/>
      <c r="W9" s="100" t="s">
        <v>127</v>
      </c>
      <c r="X9" s="244" t="s">
        <v>115</v>
      </c>
      <c r="Y9" s="244"/>
      <c r="Z9" s="101"/>
      <c r="AA9" s="239"/>
      <c r="AB9" s="240"/>
      <c r="AC9" s="240"/>
      <c r="AD9" s="241"/>
    </row>
    <row r="10" spans="1:30" s="69" customFormat="1" ht="16.149999999999999" customHeight="1" x14ac:dyDescent="0.25">
      <c r="A10" s="252"/>
      <c r="B10" s="159">
        <f>AA2+2</f>
        <v>45964</v>
      </c>
      <c r="C10" s="78"/>
      <c r="D10" s="79" t="s">
        <v>109</v>
      </c>
      <c r="E10" s="80"/>
      <c r="F10" s="80" t="str">
        <f>_xll.XGToL(B10,"日")</f>
        <v>十四</v>
      </c>
      <c r="G10" s="167">
        <f>B10+1</f>
        <v>45965</v>
      </c>
      <c r="H10" s="104"/>
      <c r="I10" s="104"/>
      <c r="J10" s="104"/>
      <c r="K10" s="105"/>
      <c r="L10" s="176">
        <f>G10+1</f>
        <v>45966</v>
      </c>
      <c r="M10" s="78"/>
      <c r="N10" s="80" t="str">
        <f>D10</f>
        <v xml:space="preserve"> </v>
      </c>
      <c r="O10" s="80"/>
      <c r="P10" s="107" t="str">
        <f>_xll.XGToL(L10,"日")</f>
        <v>十六</v>
      </c>
      <c r="Q10" s="167">
        <f>L10+1</f>
        <v>45967</v>
      </c>
      <c r="R10" s="106"/>
      <c r="S10" s="80" t="str">
        <f>D10</f>
        <v xml:space="preserve"> </v>
      </c>
      <c r="T10" s="80"/>
      <c r="U10" s="107" t="str">
        <f>_xll.XGToL(Q10,"日")</f>
        <v>十七</v>
      </c>
      <c r="V10" s="167">
        <f>Q10+1</f>
        <v>45968</v>
      </c>
      <c r="W10" s="106"/>
      <c r="X10" s="80" t="str">
        <f>D10</f>
        <v xml:space="preserve"> </v>
      </c>
      <c r="Y10" s="80"/>
      <c r="Z10" s="107" t="str">
        <f>_xll.XGToL(V10,"日")</f>
        <v>十八</v>
      </c>
      <c r="AA10" s="167">
        <f>V10+1</f>
        <v>45969</v>
      </c>
      <c r="AB10" s="106"/>
      <c r="AC10" s="80" t="str">
        <f>D10</f>
        <v xml:space="preserve"> </v>
      </c>
      <c r="AD10" s="108" t="str">
        <f>_xll.XGToL(AA10,"日")</f>
        <v>十九</v>
      </c>
    </row>
    <row r="11" spans="1:30" s="68" customFormat="1" ht="16.149999999999999" customHeight="1" x14ac:dyDescent="0.25">
      <c r="A11" s="252"/>
      <c r="B11" s="160">
        <v>0.375</v>
      </c>
      <c r="C11" s="92" t="s">
        <v>127</v>
      </c>
      <c r="D11" s="192" t="s">
        <v>170</v>
      </c>
      <c r="E11" s="192"/>
      <c r="F11" s="192"/>
      <c r="G11" s="168">
        <v>0.375</v>
      </c>
      <c r="H11" s="109"/>
      <c r="I11" s="192" t="s">
        <v>179</v>
      </c>
      <c r="J11" s="192"/>
      <c r="K11" s="192"/>
      <c r="L11" s="169">
        <v>0.375</v>
      </c>
      <c r="M11" s="109"/>
      <c r="N11" s="192" t="s">
        <v>175</v>
      </c>
      <c r="O11" s="192"/>
      <c r="P11" s="192"/>
      <c r="Q11" s="168">
        <v>0.375</v>
      </c>
      <c r="R11" s="110"/>
      <c r="S11" s="245" t="s">
        <v>165</v>
      </c>
      <c r="T11" s="245"/>
      <c r="U11" s="246"/>
      <c r="V11" s="169">
        <v>0.375</v>
      </c>
      <c r="W11" s="109"/>
      <c r="X11" s="192" t="s">
        <v>141</v>
      </c>
      <c r="Y11" s="192"/>
      <c r="Z11" s="193"/>
      <c r="AA11" s="182">
        <v>0.375</v>
      </c>
      <c r="AB11" s="90"/>
      <c r="AC11" s="192" t="s">
        <v>10</v>
      </c>
      <c r="AD11" s="230"/>
    </row>
    <row r="12" spans="1:30" s="68" customFormat="1" ht="16.149999999999999" customHeight="1" x14ac:dyDescent="0.25">
      <c r="A12" s="252"/>
      <c r="B12" s="160">
        <v>0.375</v>
      </c>
      <c r="C12" s="88"/>
      <c r="D12" s="192" t="s">
        <v>178</v>
      </c>
      <c r="E12" s="192"/>
      <c r="F12" s="193"/>
      <c r="G12" s="168">
        <v>0.41666666666666669</v>
      </c>
      <c r="H12" s="109"/>
      <c r="I12" s="192" t="s">
        <v>180</v>
      </c>
      <c r="J12" s="192"/>
      <c r="K12" s="192"/>
      <c r="L12" s="169">
        <v>0.41666666666666669</v>
      </c>
      <c r="M12" s="88" t="s">
        <v>116</v>
      </c>
      <c r="N12" s="194" t="s">
        <v>134</v>
      </c>
      <c r="O12" s="194"/>
      <c r="P12" s="195"/>
      <c r="Q12" s="168"/>
      <c r="R12" s="110"/>
      <c r="S12" s="245"/>
      <c r="T12" s="245"/>
      <c r="U12" s="246"/>
      <c r="V12" s="169">
        <v>0.41666666666666669</v>
      </c>
      <c r="W12" s="109"/>
      <c r="X12" s="192" t="s">
        <v>162</v>
      </c>
      <c r="Y12" s="192"/>
      <c r="Z12" s="193"/>
      <c r="AA12" s="182">
        <v>0.39583333333333331</v>
      </c>
      <c r="AB12" s="90"/>
      <c r="AC12" s="192" t="s">
        <v>195</v>
      </c>
      <c r="AD12" s="230"/>
    </row>
    <row r="13" spans="1:30" s="68" customFormat="1" ht="16.149999999999999" customHeight="1" x14ac:dyDescent="0.25">
      <c r="A13" s="252"/>
      <c r="B13" s="160">
        <v>0.41666666666666669</v>
      </c>
      <c r="C13" s="92" t="s">
        <v>127</v>
      </c>
      <c r="D13" s="192" t="s">
        <v>172</v>
      </c>
      <c r="E13" s="192"/>
      <c r="F13" s="193"/>
      <c r="G13" s="169">
        <v>0.45833333333333331</v>
      </c>
      <c r="H13" s="90"/>
      <c r="I13" s="192" t="s">
        <v>164</v>
      </c>
      <c r="J13" s="192"/>
      <c r="K13" s="192"/>
      <c r="L13" s="169"/>
      <c r="M13" s="88"/>
      <c r="N13" s="194"/>
      <c r="O13" s="194"/>
      <c r="P13" s="195"/>
      <c r="Q13" s="168">
        <v>0.375</v>
      </c>
      <c r="R13" s="90"/>
      <c r="S13" s="192" t="s">
        <v>193</v>
      </c>
      <c r="T13" s="192"/>
      <c r="U13" s="192"/>
      <c r="V13" s="169">
        <v>0.45833333333333331</v>
      </c>
      <c r="W13" s="109"/>
      <c r="X13" s="192" t="s">
        <v>46</v>
      </c>
      <c r="Y13" s="192"/>
      <c r="Z13" s="193"/>
      <c r="AA13" s="182"/>
      <c r="AB13" s="90"/>
      <c r="AC13" s="192"/>
      <c r="AD13" s="230"/>
    </row>
    <row r="14" spans="1:30" s="68" customFormat="1" ht="16.149999999999999" customHeight="1" x14ac:dyDescent="0.25">
      <c r="A14" s="252"/>
      <c r="B14" s="160">
        <v>0.45833333333333331</v>
      </c>
      <c r="C14" s="88"/>
      <c r="D14" s="192" t="s">
        <v>46</v>
      </c>
      <c r="E14" s="192"/>
      <c r="F14" s="193"/>
      <c r="G14" s="169">
        <v>0.45833333333333331</v>
      </c>
      <c r="H14" s="110"/>
      <c r="I14" s="192" t="s">
        <v>46</v>
      </c>
      <c r="J14" s="192"/>
      <c r="K14" s="192"/>
      <c r="L14" s="169">
        <v>0.45833333333333331</v>
      </c>
      <c r="M14" s="77"/>
      <c r="N14" s="192" t="s">
        <v>13</v>
      </c>
      <c r="O14" s="192"/>
      <c r="P14" s="192"/>
      <c r="Q14" s="168">
        <v>0.41666666666666669</v>
      </c>
      <c r="R14" s="77"/>
      <c r="S14" s="194" t="s">
        <v>108</v>
      </c>
      <c r="T14" s="194"/>
      <c r="U14" s="195"/>
      <c r="V14" s="169">
        <v>8.3333333333333329E-2</v>
      </c>
      <c r="W14" s="109"/>
      <c r="X14" s="192" t="s">
        <v>139</v>
      </c>
      <c r="Y14" s="192"/>
      <c r="Z14" s="193"/>
      <c r="AA14" s="184"/>
      <c r="AB14" s="112"/>
      <c r="AC14" s="112"/>
      <c r="AD14" s="113"/>
    </row>
    <row r="15" spans="1:30" s="68" customFormat="1" ht="16.149999999999999" customHeight="1" x14ac:dyDescent="0.25">
      <c r="A15" s="252"/>
      <c r="B15" s="161">
        <v>8.3333333333333329E-2</v>
      </c>
      <c r="C15" s="88" t="s">
        <v>116</v>
      </c>
      <c r="D15" s="192" t="s">
        <v>196</v>
      </c>
      <c r="E15" s="192"/>
      <c r="F15" s="193"/>
      <c r="G15" s="168">
        <v>8.3333333333333329E-2</v>
      </c>
      <c r="H15" s="77"/>
      <c r="I15" s="192" t="s">
        <v>155</v>
      </c>
      <c r="J15" s="192"/>
      <c r="K15" s="192"/>
      <c r="L15" s="168">
        <v>8.3333333333333329E-2</v>
      </c>
      <c r="M15" s="77"/>
      <c r="N15" s="192" t="s">
        <v>207</v>
      </c>
      <c r="O15" s="192"/>
      <c r="P15" s="192"/>
      <c r="Q15" s="168">
        <v>0.41666666666666669</v>
      </c>
      <c r="R15" s="77"/>
      <c r="S15" s="192" t="s">
        <v>113</v>
      </c>
      <c r="T15" s="192"/>
      <c r="U15" s="193"/>
      <c r="V15" s="169">
        <v>8.3333333333333329E-2</v>
      </c>
      <c r="W15" s="109"/>
      <c r="X15" s="192" t="s">
        <v>145</v>
      </c>
      <c r="Y15" s="192"/>
      <c r="Z15" s="193"/>
      <c r="AA15" s="222" t="s">
        <v>5</v>
      </c>
      <c r="AB15" s="222"/>
      <c r="AC15" s="222"/>
      <c r="AD15" s="223"/>
    </row>
    <row r="16" spans="1:30" s="68" customFormat="1" ht="16.149999999999999" customHeight="1" x14ac:dyDescent="0.25">
      <c r="A16" s="252"/>
      <c r="B16" s="161">
        <v>0.125</v>
      </c>
      <c r="C16" s="88"/>
      <c r="D16" s="194" t="s">
        <v>211</v>
      </c>
      <c r="E16" s="194"/>
      <c r="F16" s="195"/>
      <c r="G16" s="168">
        <v>8.3333333333333329E-2</v>
      </c>
      <c r="H16" s="87"/>
      <c r="I16" s="196" t="s">
        <v>156</v>
      </c>
      <c r="J16" s="196"/>
      <c r="K16" s="197"/>
      <c r="L16" s="168">
        <v>0.10416666666666667</v>
      </c>
      <c r="M16" s="114"/>
      <c r="N16" s="190" t="s">
        <v>147</v>
      </c>
      <c r="O16" s="190"/>
      <c r="P16" s="191"/>
      <c r="Q16" s="169">
        <v>0.45833333333333331</v>
      </c>
      <c r="R16" s="109"/>
      <c r="S16" s="192" t="s">
        <v>46</v>
      </c>
      <c r="T16" s="192"/>
      <c r="U16" s="193"/>
      <c r="V16" s="168">
        <v>0.125</v>
      </c>
      <c r="W16" s="109"/>
      <c r="X16" s="192" t="s">
        <v>63</v>
      </c>
      <c r="Y16" s="192"/>
      <c r="Z16" s="193"/>
      <c r="AA16" s="222"/>
      <c r="AB16" s="222"/>
      <c r="AC16" s="222"/>
      <c r="AD16" s="223"/>
    </row>
    <row r="17" spans="1:31" s="68" customFormat="1" ht="16.149999999999999" customHeight="1" x14ac:dyDescent="0.25">
      <c r="A17" s="252"/>
      <c r="B17" s="161"/>
      <c r="C17" s="88"/>
      <c r="D17" s="194"/>
      <c r="E17" s="194"/>
      <c r="F17" s="195"/>
      <c r="G17" s="168"/>
      <c r="H17" s="87"/>
      <c r="I17" s="110"/>
      <c r="J17" s="110"/>
      <c r="K17" s="110"/>
      <c r="L17" s="168"/>
      <c r="M17" s="114"/>
      <c r="N17" s="190"/>
      <c r="O17" s="190"/>
      <c r="P17" s="191"/>
      <c r="Q17" s="168">
        <v>6.25E-2</v>
      </c>
      <c r="R17" s="109"/>
      <c r="S17" s="192" t="s">
        <v>194</v>
      </c>
      <c r="T17" s="192"/>
      <c r="U17" s="193"/>
      <c r="V17" s="169">
        <v>0.14583333333333334</v>
      </c>
      <c r="W17" s="76" t="s">
        <v>111</v>
      </c>
      <c r="X17" s="192" t="s">
        <v>91</v>
      </c>
      <c r="Y17" s="192"/>
      <c r="Z17" s="193"/>
      <c r="AA17" s="222"/>
      <c r="AB17" s="222"/>
      <c r="AC17" s="222"/>
      <c r="AD17" s="223"/>
    </row>
    <row r="18" spans="1:31" s="68" customFormat="1" ht="16.149999999999999" customHeight="1" x14ac:dyDescent="0.25">
      <c r="A18" s="252"/>
      <c r="B18" s="161"/>
      <c r="C18" s="85"/>
      <c r="D18" s="115"/>
      <c r="E18" s="115"/>
      <c r="F18" s="116"/>
      <c r="G18" s="168"/>
      <c r="H18" s="87"/>
      <c r="I18" s="115"/>
      <c r="J18" s="115"/>
      <c r="K18" s="116"/>
      <c r="L18" s="168">
        <v>0.125</v>
      </c>
      <c r="M18" s="114"/>
      <c r="N18" s="190" t="s">
        <v>150</v>
      </c>
      <c r="O18" s="190"/>
      <c r="P18" s="191"/>
      <c r="Q18" s="168">
        <v>8.3333333333333329E-2</v>
      </c>
      <c r="R18" s="109"/>
      <c r="S18" s="192" t="s">
        <v>153</v>
      </c>
      <c r="T18" s="192"/>
      <c r="U18" s="192"/>
      <c r="V18" s="169"/>
      <c r="W18" s="76"/>
      <c r="X18" s="228"/>
      <c r="Y18" s="228"/>
      <c r="Z18" s="235"/>
      <c r="AA18" s="222"/>
      <c r="AB18" s="222"/>
      <c r="AC18" s="222"/>
      <c r="AD18" s="223"/>
    </row>
    <row r="19" spans="1:31" s="68" customFormat="1" ht="16.149999999999999" customHeight="1" x14ac:dyDescent="0.25">
      <c r="A19" s="252"/>
      <c r="B19" s="161"/>
      <c r="C19" s="75"/>
      <c r="D19" s="118"/>
      <c r="E19" s="118"/>
      <c r="F19" s="119"/>
      <c r="G19" s="170"/>
      <c r="H19" s="120"/>
      <c r="I19" s="115"/>
      <c r="J19" s="115"/>
      <c r="K19" s="116"/>
      <c r="L19" s="168"/>
      <c r="M19" s="121"/>
      <c r="N19" s="190"/>
      <c r="O19" s="190"/>
      <c r="P19" s="191"/>
      <c r="Q19" s="168">
        <v>0.125</v>
      </c>
      <c r="R19" s="122"/>
      <c r="S19" s="190" t="s">
        <v>168</v>
      </c>
      <c r="T19" s="190"/>
      <c r="U19" s="191"/>
      <c r="V19" s="169"/>
      <c r="W19" s="76"/>
      <c r="X19" s="228"/>
      <c r="Y19" s="228"/>
      <c r="Z19" s="235"/>
      <c r="AA19" s="222"/>
      <c r="AB19" s="222"/>
      <c r="AC19" s="222"/>
      <c r="AD19" s="223"/>
    </row>
    <row r="20" spans="1:31" s="68" customFormat="1" ht="16.149999999999999" customHeight="1" x14ac:dyDescent="0.25">
      <c r="A20" s="252"/>
      <c r="B20" s="161"/>
      <c r="C20" s="75"/>
      <c r="D20" s="123"/>
      <c r="E20" s="123"/>
      <c r="F20" s="123"/>
      <c r="G20" s="170"/>
      <c r="H20" s="120"/>
      <c r="I20" s="120"/>
      <c r="J20" s="120"/>
      <c r="K20" s="120"/>
      <c r="L20" s="168"/>
      <c r="M20" s="121"/>
      <c r="N20" s="124"/>
      <c r="O20" s="117"/>
      <c r="P20" s="117"/>
      <c r="Q20" s="168"/>
      <c r="R20" s="122"/>
      <c r="S20" s="247"/>
      <c r="T20" s="247"/>
      <c r="U20" s="248"/>
      <c r="V20" s="169"/>
      <c r="W20" s="76"/>
      <c r="X20" s="117"/>
      <c r="Y20" s="117"/>
      <c r="Z20" s="89"/>
      <c r="AA20" s="185"/>
      <c r="AB20" s="96"/>
      <c r="AC20" s="96"/>
      <c r="AD20" s="97"/>
    </row>
    <row r="21" spans="1:31" s="68" customFormat="1" ht="16.149999999999999" customHeight="1" x14ac:dyDescent="0.25">
      <c r="A21" s="252"/>
      <c r="B21" s="162">
        <f>AA10+2</f>
        <v>45971</v>
      </c>
      <c r="C21" s="125"/>
      <c r="D21" s="126" t="s">
        <v>109</v>
      </c>
      <c r="E21" s="127"/>
      <c r="F21" s="127" t="str">
        <f>_xll.XGToL(B21,"日")</f>
        <v>廿一</v>
      </c>
      <c r="G21" s="171">
        <f>B21+1</f>
        <v>45972</v>
      </c>
      <c r="H21" s="128"/>
      <c r="I21" s="127" t="str">
        <f>D21</f>
        <v xml:space="preserve"> </v>
      </c>
      <c r="J21" s="127"/>
      <c r="K21" s="127" t="str">
        <f>_xll.XGToL(G21,"日")</f>
        <v>廿二</v>
      </c>
      <c r="L21" s="171">
        <f>G21+1</f>
        <v>45973</v>
      </c>
      <c r="M21" s="125"/>
      <c r="N21" s="127" t="str">
        <f>D21</f>
        <v xml:space="preserve"> </v>
      </c>
      <c r="O21" s="127"/>
      <c r="P21" s="127" t="str">
        <f>_xll.XGToL(L21,"日")</f>
        <v>廿三</v>
      </c>
      <c r="Q21" s="171">
        <f>L21+1</f>
        <v>45974</v>
      </c>
      <c r="R21" s="128"/>
      <c r="S21" s="127" t="str">
        <f>D21</f>
        <v xml:space="preserve"> </v>
      </c>
      <c r="T21" s="127"/>
      <c r="U21" s="127" t="str">
        <f>_xll.XGToL(Q21,"日")</f>
        <v>廿四</v>
      </c>
      <c r="V21" s="171">
        <f>Q21+1</f>
        <v>45975</v>
      </c>
      <c r="W21" s="128"/>
      <c r="X21" s="127" t="str">
        <f>D21</f>
        <v xml:space="preserve"> </v>
      </c>
      <c r="Y21" s="127"/>
      <c r="Z21" s="129" t="str">
        <f>_xll.XGToL(V21,"日")</f>
        <v>廿五</v>
      </c>
      <c r="AA21" s="171">
        <f>V21+1</f>
        <v>45976</v>
      </c>
      <c r="AB21" s="128"/>
      <c r="AC21" s="127" t="str">
        <f>D21</f>
        <v xml:space="preserve"> </v>
      </c>
      <c r="AD21" s="130" t="str">
        <f>_xll.XGToL(AA21,"日")</f>
        <v>廿六</v>
      </c>
    </row>
    <row r="22" spans="1:31" s="68" customFormat="1" ht="17.45" customHeight="1" x14ac:dyDescent="0.25">
      <c r="A22" s="252"/>
      <c r="B22" s="160">
        <v>0.375</v>
      </c>
      <c r="C22" s="88"/>
      <c r="D22" s="192" t="s">
        <v>183</v>
      </c>
      <c r="E22" s="192"/>
      <c r="F22" s="192"/>
      <c r="G22" s="168">
        <v>0.375</v>
      </c>
      <c r="H22" s="109"/>
      <c r="I22" s="192" t="s">
        <v>188</v>
      </c>
      <c r="J22" s="192"/>
      <c r="K22" s="192"/>
      <c r="L22" s="169">
        <v>0.375</v>
      </c>
      <c r="M22" s="109"/>
      <c r="N22" s="192" t="s">
        <v>129</v>
      </c>
      <c r="O22" s="192"/>
      <c r="P22" s="192"/>
      <c r="Q22" s="168">
        <v>0.375</v>
      </c>
      <c r="R22" s="110"/>
      <c r="S22" s="249" t="s">
        <v>166</v>
      </c>
      <c r="T22" s="249"/>
      <c r="U22" s="250"/>
      <c r="V22" s="169">
        <v>0.375</v>
      </c>
      <c r="W22" s="109"/>
      <c r="X22" s="192" t="s">
        <v>142</v>
      </c>
      <c r="Y22" s="192"/>
      <c r="Z22" s="193"/>
      <c r="AA22" s="182">
        <v>0.39583333333333331</v>
      </c>
      <c r="AB22" s="90"/>
      <c r="AC22" s="192" t="s">
        <v>195</v>
      </c>
      <c r="AD22" s="230"/>
    </row>
    <row r="23" spans="1:31" s="68" customFormat="1" ht="16.899999999999999" customHeight="1" x14ac:dyDescent="0.25">
      <c r="A23" s="252"/>
      <c r="B23" s="160">
        <v>0.41666666666666669</v>
      </c>
      <c r="C23" s="88"/>
      <c r="D23" s="192" t="s">
        <v>148</v>
      </c>
      <c r="E23" s="192"/>
      <c r="F23" s="192"/>
      <c r="G23" s="168">
        <v>0.41666666666666669</v>
      </c>
      <c r="H23" s="109"/>
      <c r="I23" s="192" t="s">
        <v>189</v>
      </c>
      <c r="J23" s="192"/>
      <c r="K23" s="192"/>
      <c r="L23" s="169">
        <v>0.39583333333333331</v>
      </c>
      <c r="M23" s="109"/>
      <c r="N23" s="194" t="s">
        <v>130</v>
      </c>
      <c r="O23" s="194"/>
      <c r="P23" s="195"/>
      <c r="Q23" s="168"/>
      <c r="R23" s="110"/>
      <c r="S23" s="249"/>
      <c r="T23" s="249"/>
      <c r="U23" s="250"/>
      <c r="V23" s="169">
        <v>0.41666666666666669</v>
      </c>
      <c r="W23" s="109"/>
      <c r="X23" s="192" t="s">
        <v>206</v>
      </c>
      <c r="Y23" s="192"/>
      <c r="Z23" s="193"/>
      <c r="AA23" s="403" t="s">
        <v>214</v>
      </c>
      <c r="AB23" s="401"/>
      <c r="AC23" s="401"/>
      <c r="AD23" s="402"/>
    </row>
    <row r="24" spans="1:31" s="68" customFormat="1" ht="16.149999999999999" customHeight="1" x14ac:dyDescent="0.25">
      <c r="A24" s="252"/>
      <c r="B24" s="160">
        <v>0.45833333333333331</v>
      </c>
      <c r="C24" s="88"/>
      <c r="D24" s="192" t="s">
        <v>46</v>
      </c>
      <c r="E24" s="192"/>
      <c r="F24" s="192"/>
      <c r="G24" s="169">
        <v>0.45833333333333331</v>
      </c>
      <c r="H24" s="90"/>
      <c r="I24" s="192" t="s">
        <v>164</v>
      </c>
      <c r="J24" s="192"/>
      <c r="K24" s="192"/>
      <c r="L24" s="169"/>
      <c r="M24" s="76"/>
      <c r="N24" s="194"/>
      <c r="O24" s="194"/>
      <c r="P24" s="195"/>
      <c r="Q24" s="168">
        <v>0.375</v>
      </c>
      <c r="R24" s="90"/>
      <c r="S24" s="192" t="s">
        <v>203</v>
      </c>
      <c r="T24" s="192"/>
      <c r="U24" s="192"/>
      <c r="V24" s="169">
        <v>0.45833333333333331</v>
      </c>
      <c r="W24" s="109"/>
      <c r="X24" s="192" t="s">
        <v>46</v>
      </c>
      <c r="Y24" s="192"/>
      <c r="Z24" s="193"/>
      <c r="AA24" s="403"/>
      <c r="AB24" s="401"/>
      <c r="AC24" s="401"/>
      <c r="AD24" s="402"/>
    </row>
    <row r="25" spans="1:31" s="68" customFormat="1" ht="16.149999999999999" customHeight="1" x14ac:dyDescent="0.25">
      <c r="A25" s="252"/>
      <c r="B25" s="161">
        <v>8.3333333333333329E-2</v>
      </c>
      <c r="C25" s="88" t="s">
        <v>116</v>
      </c>
      <c r="D25" s="192" t="s">
        <v>197</v>
      </c>
      <c r="E25" s="192"/>
      <c r="F25" s="192"/>
      <c r="G25" s="169">
        <v>0.45833333333333331</v>
      </c>
      <c r="H25" s="110"/>
      <c r="I25" s="192" t="s">
        <v>46</v>
      </c>
      <c r="J25" s="192"/>
      <c r="K25" s="192"/>
      <c r="L25" s="169">
        <v>0.45833333333333331</v>
      </c>
      <c r="M25" s="77"/>
      <c r="N25" s="192" t="s">
        <v>13</v>
      </c>
      <c r="O25" s="192"/>
      <c r="P25" s="192"/>
      <c r="Q25" s="168">
        <v>0.41666666666666669</v>
      </c>
      <c r="R25" s="90"/>
      <c r="S25" s="194" t="s">
        <v>108</v>
      </c>
      <c r="T25" s="194"/>
      <c r="U25" s="195"/>
      <c r="V25" s="169">
        <v>8.3333333333333329E-2</v>
      </c>
      <c r="W25" s="109"/>
      <c r="X25" s="192" t="s">
        <v>140</v>
      </c>
      <c r="Y25" s="192"/>
      <c r="Z25" s="193"/>
      <c r="AA25" s="182"/>
      <c r="AB25" s="121"/>
      <c r="AC25" s="228"/>
      <c r="AD25" s="229"/>
    </row>
    <row r="26" spans="1:31" s="68" customFormat="1" ht="16.149999999999999" customHeight="1" x14ac:dyDescent="0.25">
      <c r="A26" s="252"/>
      <c r="B26" s="161">
        <v>8.3333333333333329E-2</v>
      </c>
      <c r="C26" s="131" t="s">
        <v>112</v>
      </c>
      <c r="D26" s="192" t="s">
        <v>174</v>
      </c>
      <c r="E26" s="192"/>
      <c r="F26" s="192"/>
      <c r="G26" s="168">
        <v>8.3333333333333329E-2</v>
      </c>
      <c r="H26" s="77"/>
      <c r="I26" s="192" t="s">
        <v>157</v>
      </c>
      <c r="J26" s="192"/>
      <c r="K26" s="192"/>
      <c r="L26" s="160">
        <v>8.3333333333333329E-2</v>
      </c>
      <c r="M26" s="92" t="s">
        <v>127</v>
      </c>
      <c r="N26" s="192" t="s">
        <v>200</v>
      </c>
      <c r="O26" s="192"/>
      <c r="P26" s="192"/>
      <c r="Q26" s="168">
        <v>0.41666666666666669</v>
      </c>
      <c r="R26" s="90"/>
      <c r="S26" s="192" t="s">
        <v>113</v>
      </c>
      <c r="T26" s="192"/>
      <c r="U26" s="193"/>
      <c r="V26" s="169">
        <v>8.3333333333333329E-2</v>
      </c>
      <c r="W26" s="109"/>
      <c r="X26" s="192" t="s">
        <v>146</v>
      </c>
      <c r="Y26" s="192"/>
      <c r="Z26" s="193"/>
      <c r="AA26" s="186"/>
      <c r="AB26" s="90"/>
      <c r="AC26" s="228"/>
      <c r="AD26" s="229"/>
    </row>
    <row r="27" spans="1:31" s="68" customFormat="1" ht="15.6" customHeight="1" x14ac:dyDescent="0.25">
      <c r="A27" s="252"/>
      <c r="B27" s="161">
        <v>0.125</v>
      </c>
      <c r="C27" s="131"/>
      <c r="D27" s="274" t="s">
        <v>151</v>
      </c>
      <c r="E27" s="274"/>
      <c r="F27" s="275"/>
      <c r="G27" s="168">
        <v>8.3333333333333329E-2</v>
      </c>
      <c r="H27" s="87"/>
      <c r="I27" s="196" t="s">
        <v>158</v>
      </c>
      <c r="J27" s="196"/>
      <c r="K27" s="197"/>
      <c r="L27" s="168">
        <v>0.125</v>
      </c>
      <c r="M27" s="92"/>
      <c r="N27" s="190" t="s">
        <v>176</v>
      </c>
      <c r="O27" s="190"/>
      <c r="P27" s="191"/>
      <c r="Q27" s="169">
        <v>0.45833333333333331</v>
      </c>
      <c r="R27" s="90"/>
      <c r="S27" s="192" t="s">
        <v>46</v>
      </c>
      <c r="T27" s="192"/>
      <c r="U27" s="193"/>
      <c r="V27" s="168">
        <v>0.125</v>
      </c>
      <c r="W27" s="132"/>
      <c r="X27" s="192" t="s">
        <v>63</v>
      </c>
      <c r="Y27" s="192"/>
      <c r="Z27" s="193"/>
      <c r="AA27" s="222" t="s">
        <v>5</v>
      </c>
      <c r="AB27" s="222"/>
      <c r="AC27" s="222"/>
      <c r="AD27" s="223"/>
    </row>
    <row r="28" spans="1:31" s="68" customFormat="1" ht="15.6" customHeight="1" x14ac:dyDescent="0.25">
      <c r="A28" s="252"/>
      <c r="B28" s="161"/>
      <c r="C28" s="133"/>
      <c r="D28" s="274"/>
      <c r="E28" s="274"/>
      <c r="F28" s="275"/>
      <c r="G28" s="168"/>
      <c r="H28" s="87"/>
      <c r="I28" s="200"/>
      <c r="J28" s="200"/>
      <c r="K28" s="201"/>
      <c r="L28" s="168"/>
      <c r="M28" s="134"/>
      <c r="N28" s="190"/>
      <c r="O28" s="190"/>
      <c r="P28" s="191"/>
      <c r="Q28" s="168">
        <v>6.25E-2</v>
      </c>
      <c r="R28" s="109"/>
      <c r="S28" s="192" t="s">
        <v>204</v>
      </c>
      <c r="T28" s="192"/>
      <c r="U28" s="193"/>
      <c r="V28" s="169">
        <v>0.14583333333333334</v>
      </c>
      <c r="W28" s="76" t="s">
        <v>111</v>
      </c>
      <c r="X28" s="192" t="s">
        <v>91</v>
      </c>
      <c r="Y28" s="192"/>
      <c r="Z28" s="193"/>
      <c r="AA28" s="222"/>
      <c r="AB28" s="222"/>
      <c r="AC28" s="222"/>
      <c r="AD28" s="223"/>
      <c r="AE28" s="70"/>
    </row>
    <row r="29" spans="1:31" s="68" customFormat="1" ht="18" customHeight="1" x14ac:dyDescent="0.25">
      <c r="A29" s="252"/>
      <c r="B29" s="161"/>
      <c r="C29" s="133"/>
      <c r="D29" s="115"/>
      <c r="E29" s="115"/>
      <c r="F29" s="116"/>
      <c r="G29" s="168"/>
      <c r="H29" s="87"/>
      <c r="I29" s="198"/>
      <c r="J29" s="198"/>
      <c r="K29" s="199"/>
      <c r="L29" s="168"/>
      <c r="M29" s="134"/>
      <c r="N29" s="115"/>
      <c r="O29" s="115"/>
      <c r="P29" s="116"/>
      <c r="Q29" s="168">
        <v>8.3333333333333329E-2</v>
      </c>
      <c r="R29" s="88"/>
      <c r="S29" s="192" t="s">
        <v>154</v>
      </c>
      <c r="T29" s="192"/>
      <c r="U29" s="193"/>
      <c r="V29" s="169"/>
      <c r="W29" s="76"/>
      <c r="X29" s="228"/>
      <c r="Y29" s="228"/>
      <c r="Z29" s="235"/>
      <c r="AA29" s="222"/>
      <c r="AB29" s="222"/>
      <c r="AC29" s="222"/>
      <c r="AD29" s="223"/>
      <c r="AE29" s="70"/>
    </row>
    <row r="30" spans="1:31" s="68" customFormat="1" ht="18" customHeight="1" x14ac:dyDescent="0.25">
      <c r="A30" s="252"/>
      <c r="B30" s="161"/>
      <c r="C30" s="133"/>
      <c r="D30" s="115"/>
      <c r="E30" s="115"/>
      <c r="F30" s="115"/>
      <c r="G30" s="168"/>
      <c r="H30" s="87"/>
      <c r="I30" s="135"/>
      <c r="J30" s="135"/>
      <c r="K30" s="135"/>
      <c r="L30" s="168"/>
      <c r="M30" s="134"/>
      <c r="N30" s="115"/>
      <c r="O30" s="115"/>
      <c r="P30" s="115"/>
      <c r="Q30" s="168">
        <v>0.125</v>
      </c>
      <c r="R30" s="88"/>
      <c r="S30" s="194" t="s">
        <v>169</v>
      </c>
      <c r="T30" s="194"/>
      <c r="U30" s="195"/>
      <c r="V30" s="169"/>
      <c r="W30" s="76"/>
      <c r="X30" s="117"/>
      <c r="Y30" s="117"/>
      <c r="Z30" s="89"/>
      <c r="AA30" s="222"/>
      <c r="AB30" s="222"/>
      <c r="AC30" s="222"/>
      <c r="AD30" s="223"/>
      <c r="AE30" s="70"/>
    </row>
    <row r="31" spans="1:31" s="68" customFormat="1" ht="16.149999999999999" customHeight="1" x14ac:dyDescent="0.25">
      <c r="A31" s="252"/>
      <c r="B31" s="161"/>
      <c r="C31" s="109"/>
      <c r="D31" s="228"/>
      <c r="E31" s="228"/>
      <c r="F31" s="228"/>
      <c r="G31" s="168"/>
      <c r="H31" s="112"/>
      <c r="I31" s="110"/>
      <c r="J31" s="110"/>
      <c r="K31" s="110"/>
      <c r="L31" s="177"/>
      <c r="M31" s="134"/>
      <c r="N31" s="134"/>
      <c r="O31" s="134"/>
      <c r="P31" s="134"/>
      <c r="Q31" s="168"/>
      <c r="R31" s="133"/>
      <c r="S31" s="202"/>
      <c r="T31" s="202"/>
      <c r="U31" s="203"/>
      <c r="V31" s="169"/>
      <c r="W31" s="76"/>
      <c r="X31" s="204"/>
      <c r="Y31" s="204"/>
      <c r="Z31" s="209"/>
      <c r="AA31" s="222"/>
      <c r="AB31" s="222"/>
      <c r="AC31" s="222"/>
      <c r="AD31" s="223"/>
    </row>
    <row r="32" spans="1:31" s="68" customFormat="1" ht="16.149999999999999" customHeight="1" x14ac:dyDescent="0.25">
      <c r="A32" s="252"/>
      <c r="B32" s="162">
        <f>AA21+2</f>
        <v>45978</v>
      </c>
      <c r="C32" s="125"/>
      <c r="D32" s="126" t="s">
        <v>109</v>
      </c>
      <c r="E32" s="127"/>
      <c r="F32" s="127" t="str">
        <f>_xll.XGToL(B32,"日")</f>
        <v>廿八</v>
      </c>
      <c r="G32" s="171">
        <f>B32+1</f>
        <v>45979</v>
      </c>
      <c r="H32" s="128"/>
      <c r="I32" s="127" t="str">
        <f>D32</f>
        <v xml:space="preserve"> </v>
      </c>
      <c r="J32" s="127"/>
      <c r="K32" s="127" t="str">
        <f>_xll.XGToL(G32,"日")</f>
        <v>廿九</v>
      </c>
      <c r="L32" s="171">
        <f>G32+1</f>
        <v>45980</v>
      </c>
      <c r="M32" s="125"/>
      <c r="N32" s="127" t="str">
        <f>D32</f>
        <v xml:space="preserve"> </v>
      </c>
      <c r="O32" s="127"/>
      <c r="P32" s="127" t="str">
        <f>_xll.XGToL(L32,"日")</f>
        <v>三十</v>
      </c>
      <c r="Q32" s="171">
        <f>L32+1</f>
        <v>45981</v>
      </c>
      <c r="R32" s="128"/>
      <c r="S32" s="127" t="str">
        <f>D32</f>
        <v xml:space="preserve"> </v>
      </c>
      <c r="T32" s="127"/>
      <c r="U32" s="127" t="str">
        <f>_xll.XGToL(Q32,"日")</f>
        <v>初一</v>
      </c>
      <c r="V32" s="171">
        <f>Q32+1</f>
        <v>45982</v>
      </c>
      <c r="W32" s="128"/>
      <c r="X32" s="127" t="str">
        <f>D32</f>
        <v xml:space="preserve"> </v>
      </c>
      <c r="Y32" s="127"/>
      <c r="Z32" s="129" t="str">
        <f>_xll.XGToL(V32,"日")</f>
        <v>初二</v>
      </c>
      <c r="AA32" s="171">
        <f>V32+1</f>
        <v>45983</v>
      </c>
      <c r="AB32" s="128"/>
      <c r="AC32" s="127" t="str">
        <f>D32</f>
        <v xml:space="preserve"> </v>
      </c>
      <c r="AD32" s="130" t="str">
        <f>_xll.XGToL(AA32,"日")</f>
        <v>初三</v>
      </c>
    </row>
    <row r="33" spans="1:30" s="68" customFormat="1" ht="16.149999999999999" customHeight="1" x14ac:dyDescent="0.25">
      <c r="A33" s="252"/>
      <c r="B33" s="160">
        <v>0.375</v>
      </c>
      <c r="C33" s="88" t="s">
        <v>112</v>
      </c>
      <c r="D33" s="190" t="s">
        <v>171</v>
      </c>
      <c r="E33" s="190"/>
      <c r="F33" s="191"/>
      <c r="G33" s="168">
        <v>0.375</v>
      </c>
      <c r="H33" s="109"/>
      <c r="I33" s="192" t="s">
        <v>186</v>
      </c>
      <c r="J33" s="192"/>
      <c r="K33" s="192"/>
      <c r="L33" s="169">
        <v>0.375</v>
      </c>
      <c r="M33" s="109"/>
      <c r="N33" s="192" t="s">
        <v>208</v>
      </c>
      <c r="O33" s="192"/>
      <c r="P33" s="192"/>
      <c r="Q33" s="168">
        <v>0.375</v>
      </c>
      <c r="R33" s="110"/>
      <c r="S33" s="190" t="s">
        <v>167</v>
      </c>
      <c r="T33" s="190"/>
      <c r="U33" s="191"/>
      <c r="V33" s="169">
        <v>0.375</v>
      </c>
      <c r="W33" s="109"/>
      <c r="X33" s="192" t="s">
        <v>143</v>
      </c>
      <c r="Y33" s="192"/>
      <c r="Z33" s="193"/>
      <c r="AA33" s="186">
        <v>0.375</v>
      </c>
      <c r="AB33" s="90"/>
      <c r="AC33" s="192" t="s">
        <v>10</v>
      </c>
      <c r="AD33" s="230"/>
    </row>
    <row r="34" spans="1:30" s="68" customFormat="1" ht="16.149999999999999" customHeight="1" x14ac:dyDescent="0.25">
      <c r="A34" s="252"/>
      <c r="B34" s="160"/>
      <c r="C34" s="88"/>
      <c r="D34" s="190"/>
      <c r="E34" s="190"/>
      <c r="F34" s="191"/>
      <c r="G34" s="168">
        <v>0.41666666666666669</v>
      </c>
      <c r="H34" s="109"/>
      <c r="I34" s="192" t="s">
        <v>187</v>
      </c>
      <c r="J34" s="192"/>
      <c r="K34" s="192"/>
      <c r="L34" s="160">
        <v>0.41666666666666669</v>
      </c>
      <c r="M34" s="92" t="s">
        <v>127</v>
      </c>
      <c r="N34" s="192" t="s">
        <v>132</v>
      </c>
      <c r="O34" s="192"/>
      <c r="P34" s="192"/>
      <c r="Q34" s="168"/>
      <c r="R34" s="110"/>
      <c r="S34" s="190"/>
      <c r="T34" s="190"/>
      <c r="U34" s="191"/>
      <c r="V34" s="169">
        <v>0.41666666666666669</v>
      </c>
      <c r="W34" s="109"/>
      <c r="X34" s="192" t="s">
        <v>205</v>
      </c>
      <c r="Y34" s="192"/>
      <c r="Z34" s="193"/>
      <c r="AA34" s="182">
        <v>0.39583333333333331</v>
      </c>
      <c r="AB34" s="90"/>
      <c r="AC34" s="192" t="s">
        <v>195</v>
      </c>
      <c r="AD34" s="230"/>
    </row>
    <row r="35" spans="1:30" s="68" customFormat="1" ht="16.149999999999999" customHeight="1" x14ac:dyDescent="0.25">
      <c r="A35" s="252"/>
      <c r="B35" s="160">
        <v>0.375</v>
      </c>
      <c r="C35" s="88"/>
      <c r="D35" s="192" t="s">
        <v>184</v>
      </c>
      <c r="E35" s="192"/>
      <c r="F35" s="192"/>
      <c r="G35" s="169">
        <v>0.45833333333333331</v>
      </c>
      <c r="H35" s="109"/>
      <c r="I35" s="192" t="s">
        <v>164</v>
      </c>
      <c r="J35" s="192"/>
      <c r="K35" s="192"/>
      <c r="L35" s="169">
        <v>0.45833333333333331</v>
      </c>
      <c r="M35" s="114"/>
      <c r="N35" s="192" t="s">
        <v>13</v>
      </c>
      <c r="O35" s="192"/>
      <c r="P35" s="192"/>
      <c r="Q35" s="168">
        <v>0.375</v>
      </c>
      <c r="R35" s="90"/>
      <c r="S35" s="192" t="s">
        <v>210</v>
      </c>
      <c r="T35" s="192"/>
      <c r="U35" s="193"/>
      <c r="V35" s="169">
        <v>0.45833333333333331</v>
      </c>
      <c r="W35" s="109"/>
      <c r="X35" s="192" t="s">
        <v>46</v>
      </c>
      <c r="Y35" s="192"/>
      <c r="Z35" s="193"/>
      <c r="AA35" s="182"/>
      <c r="AB35" s="90"/>
      <c r="AC35" s="228"/>
      <c r="AD35" s="229"/>
    </row>
    <row r="36" spans="1:30" s="68" customFormat="1" ht="16.149999999999999" customHeight="1" x14ac:dyDescent="0.25">
      <c r="A36" s="252"/>
      <c r="B36" s="160">
        <v>0.41666666666666669</v>
      </c>
      <c r="C36" s="88"/>
      <c r="D36" s="192" t="s">
        <v>90</v>
      </c>
      <c r="E36" s="192"/>
      <c r="F36" s="192"/>
      <c r="G36" s="169">
        <v>0.45833333333333331</v>
      </c>
      <c r="H36" s="90"/>
      <c r="I36" s="192" t="s">
        <v>46</v>
      </c>
      <c r="J36" s="192"/>
      <c r="K36" s="192"/>
      <c r="L36" s="168">
        <v>8.3333333333333329E-2</v>
      </c>
      <c r="M36" s="114"/>
      <c r="N36" s="204" t="s">
        <v>37</v>
      </c>
      <c r="O36" s="204"/>
      <c r="P36" s="204"/>
      <c r="Q36" s="168">
        <v>0.41666666666666669</v>
      </c>
      <c r="R36" s="90"/>
      <c r="S36" s="194" t="s">
        <v>108</v>
      </c>
      <c r="T36" s="194"/>
      <c r="U36" s="195"/>
      <c r="V36" s="169">
        <v>0.5</v>
      </c>
      <c r="W36" s="109"/>
      <c r="X36" s="204" t="s">
        <v>161</v>
      </c>
      <c r="Y36" s="204"/>
      <c r="Z36" s="209"/>
      <c r="AA36" s="169"/>
      <c r="AB36" s="77"/>
      <c r="AC36" s="228"/>
      <c r="AD36" s="229"/>
    </row>
    <row r="37" spans="1:30" s="68" customFormat="1" ht="16.149999999999999" customHeight="1" x14ac:dyDescent="0.25">
      <c r="A37" s="252"/>
      <c r="B37" s="160">
        <v>0.45833333333333331</v>
      </c>
      <c r="C37" s="75"/>
      <c r="D37" s="192" t="s">
        <v>46</v>
      </c>
      <c r="E37" s="192"/>
      <c r="F37" s="192"/>
      <c r="G37" s="168">
        <v>8.3333333333333329E-2</v>
      </c>
      <c r="H37" s="110"/>
      <c r="I37" s="192" t="s">
        <v>160</v>
      </c>
      <c r="J37" s="192"/>
      <c r="K37" s="192"/>
      <c r="L37" s="168">
        <v>0.10416666666666667</v>
      </c>
      <c r="M37" s="114"/>
      <c r="N37" s="204" t="s">
        <v>38</v>
      </c>
      <c r="O37" s="204"/>
      <c r="P37" s="204"/>
      <c r="Q37" s="168">
        <v>0.41666666666666669</v>
      </c>
      <c r="R37" s="90"/>
      <c r="S37" s="192" t="s">
        <v>113</v>
      </c>
      <c r="T37" s="192"/>
      <c r="U37" s="193"/>
      <c r="V37" s="168">
        <v>0.125</v>
      </c>
      <c r="W37" s="109"/>
      <c r="X37" s="198" t="s">
        <v>173</v>
      </c>
      <c r="Y37" s="198"/>
      <c r="Z37" s="199"/>
      <c r="AA37" s="187"/>
      <c r="AB37" s="136"/>
      <c r="AC37" s="228"/>
      <c r="AD37" s="229"/>
    </row>
    <row r="38" spans="1:30" s="68" customFormat="1" ht="16.149999999999999" customHeight="1" x14ac:dyDescent="0.25">
      <c r="A38" s="216" t="s">
        <v>136</v>
      </c>
      <c r="B38" s="161">
        <v>8.3333333333333329E-2</v>
      </c>
      <c r="C38" s="88" t="s">
        <v>116</v>
      </c>
      <c r="D38" s="192" t="s">
        <v>198</v>
      </c>
      <c r="E38" s="192"/>
      <c r="F38" s="192"/>
      <c r="G38" s="168">
        <v>8.3333333333333329E-2</v>
      </c>
      <c r="H38" s="77"/>
      <c r="I38" s="196" t="s">
        <v>159</v>
      </c>
      <c r="J38" s="196"/>
      <c r="K38" s="197"/>
      <c r="L38" s="168">
        <v>0.125</v>
      </c>
      <c r="M38" s="88" t="s">
        <v>114</v>
      </c>
      <c r="N38" s="192" t="s">
        <v>209</v>
      </c>
      <c r="O38" s="192"/>
      <c r="P38" s="192"/>
      <c r="Q38" s="169">
        <v>0.45833333333333331</v>
      </c>
      <c r="R38" s="90"/>
      <c r="S38" s="192" t="s">
        <v>46</v>
      </c>
      <c r="T38" s="192"/>
      <c r="U38" s="193"/>
      <c r="V38" s="169"/>
      <c r="W38" s="109"/>
      <c r="X38" s="226"/>
      <c r="Y38" s="226"/>
      <c r="Z38" s="227"/>
      <c r="AA38" s="221" t="s">
        <v>5</v>
      </c>
      <c r="AB38" s="222"/>
      <c r="AC38" s="222"/>
      <c r="AD38" s="223"/>
    </row>
    <row r="39" spans="1:30" s="68" customFormat="1" ht="16.149999999999999" customHeight="1" x14ac:dyDescent="0.25">
      <c r="A39" s="216"/>
      <c r="B39" s="161">
        <v>0.125</v>
      </c>
      <c r="C39" s="133"/>
      <c r="D39" s="194" t="s">
        <v>201</v>
      </c>
      <c r="E39" s="194"/>
      <c r="F39" s="195"/>
      <c r="G39" s="168"/>
      <c r="H39" s="87"/>
      <c r="I39" s="200"/>
      <c r="J39" s="200"/>
      <c r="K39" s="201"/>
      <c r="L39" s="168">
        <v>0.125</v>
      </c>
      <c r="M39" s="88"/>
      <c r="N39" s="194" t="s">
        <v>202</v>
      </c>
      <c r="O39" s="194"/>
      <c r="P39" s="195"/>
      <c r="Q39" s="168">
        <v>6.25E-2</v>
      </c>
      <c r="R39" s="109"/>
      <c r="S39" s="192" t="s">
        <v>181</v>
      </c>
      <c r="T39" s="192"/>
      <c r="U39" s="193"/>
      <c r="V39" s="168"/>
      <c r="W39" s="87"/>
      <c r="X39" s="198"/>
      <c r="Y39" s="198"/>
      <c r="Z39" s="199"/>
      <c r="AA39" s="222"/>
      <c r="AB39" s="222"/>
      <c r="AC39" s="222"/>
      <c r="AD39" s="223"/>
    </row>
    <row r="40" spans="1:30" s="68" customFormat="1" ht="16.149999999999999" customHeight="1" x14ac:dyDescent="0.25">
      <c r="A40" s="216"/>
      <c r="B40" s="161"/>
      <c r="C40" s="133"/>
      <c r="D40" s="194"/>
      <c r="E40" s="194"/>
      <c r="F40" s="195"/>
      <c r="G40" s="168"/>
      <c r="H40" s="87"/>
      <c r="I40" s="198"/>
      <c r="J40" s="198"/>
      <c r="K40" s="199"/>
      <c r="L40" s="168"/>
      <c r="M40" s="132"/>
      <c r="N40" s="194"/>
      <c r="O40" s="194"/>
      <c r="P40" s="195"/>
      <c r="Q40" s="168">
        <v>8.3333333333333329E-2</v>
      </c>
      <c r="R40" s="109"/>
      <c r="S40" s="192" t="s">
        <v>137</v>
      </c>
      <c r="T40" s="192"/>
      <c r="U40" s="193"/>
      <c r="V40" s="169"/>
      <c r="W40" s="76"/>
      <c r="X40" s="228"/>
      <c r="Y40" s="228"/>
      <c r="Z40" s="235"/>
      <c r="AA40" s="222"/>
      <c r="AB40" s="222"/>
      <c r="AC40" s="222"/>
      <c r="AD40" s="223"/>
    </row>
    <row r="41" spans="1:30" s="68" customFormat="1" ht="16.149999999999999" customHeight="1" x14ac:dyDescent="0.25">
      <c r="A41" s="216"/>
      <c r="B41" s="161"/>
      <c r="C41" s="133"/>
      <c r="D41" s="111"/>
      <c r="E41" s="111"/>
      <c r="F41" s="111"/>
      <c r="G41" s="168"/>
      <c r="H41" s="87"/>
      <c r="I41" s="135"/>
      <c r="J41" s="135"/>
      <c r="K41" s="135"/>
      <c r="L41" s="168"/>
      <c r="M41" s="132"/>
      <c r="N41" s="137"/>
      <c r="O41" s="137"/>
      <c r="P41" s="138"/>
      <c r="Q41" s="168">
        <v>0.125</v>
      </c>
      <c r="R41" s="109"/>
      <c r="S41" s="196" t="s">
        <v>182</v>
      </c>
      <c r="T41" s="196"/>
      <c r="U41" s="197"/>
      <c r="V41" s="169"/>
      <c r="W41" s="76"/>
      <c r="X41" s="117"/>
      <c r="Y41" s="117"/>
      <c r="Z41" s="89"/>
      <c r="AA41" s="185"/>
      <c r="AB41" s="96"/>
      <c r="AC41" s="96"/>
      <c r="AD41" s="97"/>
    </row>
    <row r="42" spans="1:30" s="68" customFormat="1" ht="16.149999999999999" customHeight="1" x14ac:dyDescent="0.25">
      <c r="A42" s="216"/>
      <c r="B42" s="163"/>
      <c r="C42" s="139"/>
      <c r="D42" s="140"/>
      <c r="E42" s="140"/>
      <c r="F42" s="140"/>
      <c r="G42" s="172"/>
      <c r="H42" s="141"/>
      <c r="I42" s="140"/>
      <c r="J42" s="140"/>
      <c r="K42" s="140"/>
      <c r="L42" s="172"/>
      <c r="M42" s="142"/>
      <c r="N42" s="143"/>
      <c r="O42" s="143"/>
      <c r="P42" s="144"/>
      <c r="Q42" s="168"/>
      <c r="R42" s="132"/>
      <c r="S42" s="233"/>
      <c r="T42" s="233"/>
      <c r="U42" s="234"/>
      <c r="V42" s="180"/>
      <c r="W42" s="145"/>
      <c r="X42" s="224"/>
      <c r="Y42" s="224"/>
      <c r="Z42" s="225"/>
      <c r="AA42" s="188"/>
      <c r="AB42" s="102"/>
      <c r="AC42" s="102"/>
      <c r="AD42" s="103"/>
    </row>
    <row r="43" spans="1:30" s="68" customFormat="1" ht="16.149999999999999" customHeight="1" x14ac:dyDescent="0.25">
      <c r="A43" s="216"/>
      <c r="B43" s="159">
        <v>24</v>
      </c>
      <c r="C43" s="78"/>
      <c r="D43" s="79" t="s">
        <v>109</v>
      </c>
      <c r="E43" s="80"/>
      <c r="F43" s="80" t="str">
        <f>_xll.XGToL(B43,"日")</f>
        <v>廿四</v>
      </c>
      <c r="G43" s="171">
        <v>25</v>
      </c>
      <c r="H43" s="128"/>
      <c r="I43" s="127" t="str">
        <f>D43</f>
        <v xml:space="preserve"> </v>
      </c>
      <c r="J43" s="127"/>
      <c r="K43" s="127" t="str">
        <f>_xll.XGToL(G43,"日")</f>
        <v>廿五</v>
      </c>
      <c r="L43" s="171">
        <v>26</v>
      </c>
      <c r="M43" s="125"/>
      <c r="N43" s="127" t="str">
        <f>D43</f>
        <v xml:space="preserve"> </v>
      </c>
      <c r="O43" s="127"/>
      <c r="P43" s="127" t="str">
        <f>_xll.XGToL(L43,"日")</f>
        <v>廿六</v>
      </c>
      <c r="Q43" s="171">
        <v>27</v>
      </c>
      <c r="R43" s="128"/>
      <c r="S43" s="127" t="str">
        <f>D43</f>
        <v xml:space="preserve"> </v>
      </c>
      <c r="T43" s="127"/>
      <c r="U43" s="127" t="str">
        <f>_xll.XGToL(Q43,"日")</f>
        <v>廿七</v>
      </c>
      <c r="V43" s="171">
        <v>28</v>
      </c>
      <c r="W43" s="128"/>
      <c r="X43" s="127" t="str">
        <f>D43</f>
        <v xml:space="preserve"> </v>
      </c>
      <c r="Y43" s="127"/>
      <c r="Z43" s="129" t="str">
        <f>_xll.XGToL(V43,"日")</f>
        <v>廿八</v>
      </c>
      <c r="AA43" s="171">
        <v>29</v>
      </c>
      <c r="AB43" s="128"/>
      <c r="AC43" s="127" t="str">
        <f>D43</f>
        <v xml:space="preserve"> </v>
      </c>
      <c r="AD43" s="130" t="str">
        <f>_xll.XGToL(AA43,"日")</f>
        <v>廿九</v>
      </c>
    </row>
    <row r="44" spans="1:30" s="68" customFormat="1" ht="16.149999999999999" customHeight="1" x14ac:dyDescent="0.25">
      <c r="A44" s="216"/>
      <c r="B44" s="160">
        <v>0.375</v>
      </c>
      <c r="C44" s="88"/>
      <c r="D44" s="192" t="s">
        <v>185</v>
      </c>
      <c r="E44" s="192"/>
      <c r="F44" s="192"/>
      <c r="G44" s="168">
        <v>0.375</v>
      </c>
      <c r="H44" s="109"/>
      <c r="I44" s="204" t="s">
        <v>128</v>
      </c>
      <c r="J44" s="204"/>
      <c r="K44" s="204"/>
      <c r="L44" s="169">
        <v>0.375</v>
      </c>
      <c r="M44" s="109"/>
      <c r="N44" s="192" t="s">
        <v>131</v>
      </c>
      <c r="O44" s="192"/>
      <c r="P44" s="192"/>
      <c r="Q44" s="168">
        <v>0.375</v>
      </c>
      <c r="R44" s="90"/>
      <c r="S44" s="192" t="s">
        <v>191</v>
      </c>
      <c r="T44" s="192"/>
      <c r="U44" s="193"/>
      <c r="V44" s="169">
        <v>0.375</v>
      </c>
      <c r="W44" s="109"/>
      <c r="X44" s="192" t="s">
        <v>144</v>
      </c>
      <c r="Y44" s="192"/>
      <c r="Z44" s="193"/>
      <c r="AA44" s="186">
        <v>0.375</v>
      </c>
      <c r="AB44" s="90"/>
      <c r="AC44" s="192" t="s">
        <v>10</v>
      </c>
      <c r="AD44" s="230"/>
    </row>
    <row r="45" spans="1:30" s="68" customFormat="1" ht="16.149999999999999" customHeight="1" x14ac:dyDescent="0.25">
      <c r="A45" s="216"/>
      <c r="B45" s="160">
        <v>0.41666666666666669</v>
      </c>
      <c r="C45" s="88"/>
      <c r="D45" s="192" t="s">
        <v>149</v>
      </c>
      <c r="E45" s="192"/>
      <c r="F45" s="192"/>
      <c r="G45" s="168">
        <v>0.39583333333333331</v>
      </c>
      <c r="H45" s="109"/>
      <c r="I45" s="204" t="s">
        <v>48</v>
      </c>
      <c r="J45" s="204"/>
      <c r="K45" s="204"/>
      <c r="L45" s="169">
        <v>0.39583333333333331</v>
      </c>
      <c r="M45" s="76"/>
      <c r="N45" s="194" t="s">
        <v>133</v>
      </c>
      <c r="O45" s="194"/>
      <c r="P45" s="194"/>
      <c r="Q45" s="168">
        <v>0.41666666666666669</v>
      </c>
      <c r="R45" s="90"/>
      <c r="S45" s="194" t="s">
        <v>108</v>
      </c>
      <c r="T45" s="194"/>
      <c r="U45" s="195"/>
      <c r="V45" s="169">
        <v>0.41666666666666669</v>
      </c>
      <c r="W45" s="109"/>
      <c r="X45" s="192" t="s">
        <v>190</v>
      </c>
      <c r="Y45" s="192"/>
      <c r="Z45" s="193"/>
      <c r="AA45" s="182">
        <v>0.39583333333333331</v>
      </c>
      <c r="AB45" s="90"/>
      <c r="AC45" s="192" t="s">
        <v>195</v>
      </c>
      <c r="AD45" s="230"/>
    </row>
    <row r="46" spans="1:30" s="68" customFormat="1" ht="16.149999999999999" customHeight="1" x14ac:dyDescent="0.25">
      <c r="A46" s="216"/>
      <c r="B46" s="160">
        <v>0.45833333333333331</v>
      </c>
      <c r="C46" s="75"/>
      <c r="D46" s="192" t="s">
        <v>46</v>
      </c>
      <c r="E46" s="192"/>
      <c r="F46" s="192"/>
      <c r="G46" s="169">
        <v>0.45833333333333331</v>
      </c>
      <c r="H46" s="109"/>
      <c r="I46" s="192" t="s">
        <v>46</v>
      </c>
      <c r="J46" s="192"/>
      <c r="K46" s="192"/>
      <c r="L46" s="169"/>
      <c r="M46" s="77"/>
      <c r="N46" s="194"/>
      <c r="O46" s="194"/>
      <c r="P46" s="194"/>
      <c r="Q46" s="168">
        <v>0.41666666666666669</v>
      </c>
      <c r="R46" s="90"/>
      <c r="S46" s="192" t="s">
        <v>113</v>
      </c>
      <c r="T46" s="192"/>
      <c r="U46" s="193"/>
      <c r="V46" s="169">
        <v>0.45833333333333331</v>
      </c>
      <c r="W46" s="109"/>
      <c r="X46" s="192" t="s">
        <v>46</v>
      </c>
      <c r="Y46" s="192"/>
      <c r="Z46" s="193"/>
      <c r="AA46" s="169"/>
      <c r="AB46" s="77"/>
      <c r="AC46" s="228"/>
      <c r="AD46" s="229"/>
    </row>
    <row r="47" spans="1:30" s="68" customFormat="1" ht="16.149999999999999" customHeight="1" x14ac:dyDescent="0.25">
      <c r="A47" s="216"/>
      <c r="B47" s="161">
        <v>8.3333333333333329E-2</v>
      </c>
      <c r="C47" s="88" t="s">
        <v>116</v>
      </c>
      <c r="D47" s="192" t="s">
        <v>199</v>
      </c>
      <c r="E47" s="192"/>
      <c r="F47" s="192"/>
      <c r="G47" s="168">
        <v>8.3333333333333329E-2</v>
      </c>
      <c r="H47" s="90"/>
      <c r="I47" s="204" t="s">
        <v>124</v>
      </c>
      <c r="J47" s="204"/>
      <c r="K47" s="204"/>
      <c r="L47" s="169">
        <v>0.45833333333333331</v>
      </c>
      <c r="M47" s="77"/>
      <c r="N47" s="192" t="s">
        <v>13</v>
      </c>
      <c r="O47" s="192"/>
      <c r="P47" s="192"/>
      <c r="Q47" s="169">
        <v>0.45833333333333331</v>
      </c>
      <c r="R47" s="90"/>
      <c r="S47" s="192" t="s">
        <v>46</v>
      </c>
      <c r="T47" s="192"/>
      <c r="U47" s="193"/>
      <c r="V47" s="169">
        <v>0.10416666666666667</v>
      </c>
      <c r="W47" s="109"/>
      <c r="X47" s="194" t="s">
        <v>177</v>
      </c>
      <c r="Y47" s="194"/>
      <c r="Z47" s="195"/>
      <c r="AA47" s="187"/>
      <c r="AB47" s="136"/>
      <c r="AC47" s="228"/>
      <c r="AD47" s="229"/>
    </row>
    <row r="48" spans="1:30" s="68" customFormat="1" ht="16.149999999999999" customHeight="1" x14ac:dyDescent="0.25">
      <c r="A48" s="216"/>
      <c r="B48" s="161">
        <v>0.125</v>
      </c>
      <c r="C48" s="109"/>
      <c r="D48" s="231" t="s">
        <v>152</v>
      </c>
      <c r="E48" s="231"/>
      <c r="F48" s="232"/>
      <c r="G48" s="173"/>
      <c r="H48" s="85"/>
      <c r="I48" s="85"/>
      <c r="J48" s="85"/>
      <c r="K48" s="86"/>
      <c r="L48" s="168">
        <v>8.3333333333333329E-2</v>
      </c>
      <c r="M48" s="114"/>
      <c r="N48" s="192" t="s">
        <v>163</v>
      </c>
      <c r="O48" s="192"/>
      <c r="P48" s="192"/>
      <c r="Q48" s="168">
        <v>6.25E-2</v>
      </c>
      <c r="R48" s="109"/>
      <c r="S48" s="192" t="s">
        <v>192</v>
      </c>
      <c r="T48" s="192"/>
      <c r="U48" s="193"/>
      <c r="V48" s="169"/>
      <c r="W48" s="109"/>
      <c r="X48" s="146"/>
      <c r="Y48" s="146"/>
      <c r="Z48" s="147"/>
      <c r="AA48" s="221" t="s">
        <v>5</v>
      </c>
      <c r="AB48" s="222"/>
      <c r="AC48" s="222"/>
      <c r="AD48" s="223"/>
    </row>
    <row r="49" spans="1:30" s="68" customFormat="1" ht="16.149999999999999" customHeight="1" x14ac:dyDescent="0.25">
      <c r="A49" s="216"/>
      <c r="B49" s="161"/>
      <c r="C49" s="109"/>
      <c r="D49" s="231"/>
      <c r="E49" s="231"/>
      <c r="F49" s="232"/>
      <c r="G49" s="173"/>
      <c r="H49" s="85"/>
      <c r="I49" s="85"/>
      <c r="J49" s="85"/>
      <c r="K49" s="86"/>
      <c r="L49" s="168">
        <v>0.125</v>
      </c>
      <c r="M49" s="114"/>
      <c r="N49" s="204" t="s">
        <v>135</v>
      </c>
      <c r="O49" s="204"/>
      <c r="P49" s="204"/>
      <c r="Q49" s="168">
        <v>8.3333333333333329E-2</v>
      </c>
      <c r="R49" s="85"/>
      <c r="S49" s="192" t="s">
        <v>138</v>
      </c>
      <c r="T49" s="192"/>
      <c r="U49" s="193"/>
      <c r="V49" s="169"/>
      <c r="W49" s="110"/>
      <c r="X49" s="148"/>
      <c r="Y49" s="148"/>
      <c r="Z49" s="149"/>
      <c r="AA49" s="222"/>
      <c r="AB49" s="222"/>
      <c r="AC49" s="222"/>
      <c r="AD49" s="223"/>
    </row>
    <row r="50" spans="1:30" s="68" customFormat="1" ht="16.149999999999999" customHeight="1" thickBot="1" x14ac:dyDescent="0.3">
      <c r="A50" s="217"/>
      <c r="B50" s="164"/>
      <c r="C50" s="150"/>
      <c r="D50" s="151"/>
      <c r="E50" s="151"/>
      <c r="F50" s="151"/>
      <c r="G50" s="174"/>
      <c r="H50" s="152"/>
      <c r="I50" s="152"/>
      <c r="J50" s="152"/>
      <c r="K50" s="153"/>
      <c r="L50" s="178"/>
      <c r="M50" s="154"/>
      <c r="N50" s="154"/>
      <c r="O50" s="154"/>
      <c r="P50" s="155"/>
      <c r="Q50" s="174"/>
      <c r="R50" s="152"/>
      <c r="S50" s="207"/>
      <c r="T50" s="207"/>
      <c r="U50" s="208"/>
      <c r="V50" s="181"/>
      <c r="W50" s="156"/>
      <c r="X50" s="205"/>
      <c r="Y50" s="205"/>
      <c r="Z50" s="206"/>
      <c r="AA50" s="189"/>
      <c r="AB50" s="157"/>
      <c r="AC50" s="157"/>
      <c r="AD50" s="158"/>
    </row>
    <row r="51" spans="1:30" s="68" customFormat="1" ht="15" customHeight="1" x14ac:dyDescent="0.25">
      <c r="A51" s="218" t="s">
        <v>213</v>
      </c>
      <c r="B51" s="219"/>
      <c r="C51" s="219"/>
      <c r="D51" s="219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20"/>
    </row>
    <row r="52" spans="1:30" s="68" customFormat="1" ht="15" customHeight="1" x14ac:dyDescent="0.25">
      <c r="A52" s="218"/>
      <c r="B52" s="219"/>
      <c r="C52" s="219"/>
      <c r="D52" s="219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20"/>
    </row>
    <row r="53" spans="1:30" s="68" customFormat="1" ht="15" customHeight="1" x14ac:dyDescent="0.25">
      <c r="A53" s="210" t="s">
        <v>126</v>
      </c>
      <c r="B53" s="211"/>
      <c r="C53" s="211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211"/>
      <c r="AA53" s="211"/>
      <c r="AB53" s="211"/>
      <c r="AC53" s="211"/>
      <c r="AD53" s="212"/>
    </row>
    <row r="54" spans="1:30" ht="15" customHeight="1" thickBot="1" x14ac:dyDescent="0.3">
      <c r="A54" s="213"/>
      <c r="B54" s="214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5"/>
    </row>
    <row r="72" spans="16325:16325" ht="15" customHeight="1" x14ac:dyDescent="0.25">
      <c r="XCW72" s="71" t="s">
        <v>27</v>
      </c>
    </row>
  </sheetData>
  <mergeCells count="180">
    <mergeCell ref="D35:F35"/>
    <mergeCell ref="N33:P33"/>
    <mergeCell ref="I12:K12"/>
    <mergeCell ref="D12:F12"/>
    <mergeCell ref="D23:F23"/>
    <mergeCell ref="D27:F28"/>
    <mergeCell ref="I23:K23"/>
    <mergeCell ref="N23:P24"/>
    <mergeCell ref="N25:P25"/>
    <mergeCell ref="N27:P28"/>
    <mergeCell ref="N14:P14"/>
    <mergeCell ref="N22:P22"/>
    <mergeCell ref="D22:F22"/>
    <mergeCell ref="N18:P19"/>
    <mergeCell ref="D16:F17"/>
    <mergeCell ref="D33:F34"/>
    <mergeCell ref="B3:F9"/>
    <mergeCell ref="I11:K11"/>
    <mergeCell ref="I13:K13"/>
    <mergeCell ref="I14:K14"/>
    <mergeCell ref="I16:K16"/>
    <mergeCell ref="L3:P9"/>
    <mergeCell ref="I22:K22"/>
    <mergeCell ref="Q3:U9"/>
    <mergeCell ref="X3:Y3"/>
    <mergeCell ref="X4:Y4"/>
    <mergeCell ref="X5:Y5"/>
    <mergeCell ref="X6:Y6"/>
    <mergeCell ref="D11:F11"/>
    <mergeCell ref="I15:K15"/>
    <mergeCell ref="N12:P13"/>
    <mergeCell ref="A1:A37"/>
    <mergeCell ref="B1:F1"/>
    <mergeCell ref="G1:K1"/>
    <mergeCell ref="L1:P1"/>
    <mergeCell ref="Q1:U1"/>
    <mergeCell ref="I24:K24"/>
    <mergeCell ref="I33:K33"/>
    <mergeCell ref="S16:U16"/>
    <mergeCell ref="N26:P26"/>
    <mergeCell ref="D31:F31"/>
    <mergeCell ref="S13:U13"/>
    <mergeCell ref="S35:U35"/>
    <mergeCell ref="D13:F13"/>
    <mergeCell ref="N11:P11"/>
    <mergeCell ref="S15:U15"/>
    <mergeCell ref="I36:K36"/>
    <mergeCell ref="I35:K35"/>
    <mergeCell ref="N35:P35"/>
    <mergeCell ref="D36:F36"/>
    <mergeCell ref="D14:F14"/>
    <mergeCell ref="S26:U26"/>
    <mergeCell ref="S28:U28"/>
    <mergeCell ref="G3:K9"/>
    <mergeCell ref="I37:K37"/>
    <mergeCell ref="AC13:AD13"/>
    <mergeCell ref="X7:Y7"/>
    <mergeCell ref="X13:Z13"/>
    <mergeCell ref="X22:Z22"/>
    <mergeCell ref="S17:U17"/>
    <mergeCell ref="X17:Z17"/>
    <mergeCell ref="S14:U14"/>
    <mergeCell ref="X19:Z19"/>
    <mergeCell ref="S18:U18"/>
    <mergeCell ref="X18:Z18"/>
    <mergeCell ref="S11:U12"/>
    <mergeCell ref="X12:Z12"/>
    <mergeCell ref="X14:Z14"/>
    <mergeCell ref="X15:Z15"/>
    <mergeCell ref="X16:Z16"/>
    <mergeCell ref="AA15:AD19"/>
    <mergeCell ref="AC12:AD12"/>
    <mergeCell ref="S19:U20"/>
    <mergeCell ref="S22:U23"/>
    <mergeCell ref="X23:Z23"/>
    <mergeCell ref="AA23:AD24"/>
    <mergeCell ref="AA1:AD1"/>
    <mergeCell ref="AC3:AD3"/>
    <mergeCell ref="AA7:AD9"/>
    <mergeCell ref="V1:Z1"/>
    <mergeCell ref="AC11:AD11"/>
    <mergeCell ref="X11:Z11"/>
    <mergeCell ref="X8:Y8"/>
    <mergeCell ref="X9:Y9"/>
    <mergeCell ref="AA4:AD5"/>
    <mergeCell ref="AC36:AD36"/>
    <mergeCell ref="X37:Z37"/>
    <mergeCell ref="X24:Z24"/>
    <mergeCell ref="X31:Z31"/>
    <mergeCell ref="X27:Z27"/>
    <mergeCell ref="X25:Z25"/>
    <mergeCell ref="X40:Z40"/>
    <mergeCell ref="X28:Z28"/>
    <mergeCell ref="AC22:AD22"/>
    <mergeCell ref="X34:Z34"/>
    <mergeCell ref="AC34:AD34"/>
    <mergeCell ref="AA27:AD31"/>
    <mergeCell ref="AC35:AD35"/>
    <mergeCell ref="X26:Z26"/>
    <mergeCell ref="AC26:AD26"/>
    <mergeCell ref="AC33:AD33"/>
    <mergeCell ref="AC25:AD25"/>
    <mergeCell ref="X29:Z29"/>
    <mergeCell ref="X35:Z35"/>
    <mergeCell ref="X33:Z33"/>
    <mergeCell ref="AC37:AD37"/>
    <mergeCell ref="AA48:AD49"/>
    <mergeCell ref="X44:Z44"/>
    <mergeCell ref="X45:Z45"/>
    <mergeCell ref="X47:Z47"/>
    <mergeCell ref="N44:P44"/>
    <mergeCell ref="N47:P47"/>
    <mergeCell ref="N39:P40"/>
    <mergeCell ref="S41:U42"/>
    <mergeCell ref="I40:K40"/>
    <mergeCell ref="A53:AD54"/>
    <mergeCell ref="A38:A50"/>
    <mergeCell ref="A51:AD52"/>
    <mergeCell ref="AA38:AD40"/>
    <mergeCell ref="D44:F44"/>
    <mergeCell ref="X42:Z42"/>
    <mergeCell ref="X38:Z38"/>
    <mergeCell ref="D45:F45"/>
    <mergeCell ref="D46:F46"/>
    <mergeCell ref="AC47:AD47"/>
    <mergeCell ref="AC44:AD44"/>
    <mergeCell ref="AC45:AD45"/>
    <mergeCell ref="I44:K44"/>
    <mergeCell ref="I45:K45"/>
    <mergeCell ref="S40:U40"/>
    <mergeCell ref="I46:K46"/>
    <mergeCell ref="N38:P38"/>
    <mergeCell ref="I39:K39"/>
    <mergeCell ref="D48:F49"/>
    <mergeCell ref="D39:F40"/>
    <mergeCell ref="S49:U49"/>
    <mergeCell ref="N48:P48"/>
    <mergeCell ref="AC46:AD46"/>
    <mergeCell ref="D47:F47"/>
    <mergeCell ref="D37:F37"/>
    <mergeCell ref="I38:K38"/>
    <mergeCell ref="N36:P36"/>
    <mergeCell ref="N49:P49"/>
    <mergeCell ref="X50:Z50"/>
    <mergeCell ref="S50:U50"/>
    <mergeCell ref="D38:F38"/>
    <mergeCell ref="I47:K47"/>
    <mergeCell ref="S48:U48"/>
    <mergeCell ref="X46:Z46"/>
    <mergeCell ref="S44:U44"/>
    <mergeCell ref="S46:U46"/>
    <mergeCell ref="S47:U47"/>
    <mergeCell ref="N45:P46"/>
    <mergeCell ref="X36:Z36"/>
    <mergeCell ref="S36:U36"/>
    <mergeCell ref="S45:U45"/>
    <mergeCell ref="N37:P37"/>
    <mergeCell ref="S37:U37"/>
    <mergeCell ref="S38:U38"/>
    <mergeCell ref="S39:U39"/>
    <mergeCell ref="X39:Z39"/>
    <mergeCell ref="S33:U34"/>
    <mergeCell ref="I34:K34"/>
    <mergeCell ref="N34:P34"/>
    <mergeCell ref="N15:P15"/>
    <mergeCell ref="N16:P17"/>
    <mergeCell ref="S29:U29"/>
    <mergeCell ref="S25:U25"/>
    <mergeCell ref="D15:F15"/>
    <mergeCell ref="D26:F26"/>
    <mergeCell ref="S24:U24"/>
    <mergeCell ref="S27:U27"/>
    <mergeCell ref="I27:K27"/>
    <mergeCell ref="D24:F24"/>
    <mergeCell ref="D25:F25"/>
    <mergeCell ref="I29:K29"/>
    <mergeCell ref="I28:K28"/>
    <mergeCell ref="I25:K25"/>
    <mergeCell ref="I26:K26"/>
    <mergeCell ref="S30:U31"/>
  </mergeCells>
  <phoneticPr fontId="1" type="noConversion"/>
  <printOptions horizontalCentered="1" verticalCentered="1"/>
  <pageMargins left="0" right="0" top="0" bottom="0" header="0.11811023622047245" footer="0.11811023622047245"/>
  <pageSetup paperSize="9" scale="68" orientation="landscape" r:id="rId1"/>
  <headerFooter alignWithMargins="0"/>
  <rowBreaks count="1" manualBreakCount="1">
    <brk id="54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11AC-547F-428E-8AB6-9EA29C209754}">
  <sheetPr codeName="工作表4"/>
  <dimension ref="A1:XFD70"/>
  <sheetViews>
    <sheetView view="pageBreakPreview" topLeftCell="G26" zoomScale="85" zoomScaleNormal="100" zoomScaleSheetLayoutView="85" workbookViewId="0">
      <selection activeCell="K35" sqref="K35:M39"/>
    </sheetView>
  </sheetViews>
  <sheetFormatPr defaultColWidth="3.375" defaultRowHeight="15" customHeight="1" x14ac:dyDescent="0.25"/>
  <cols>
    <col min="1" max="1" width="5.125" style="13" customWidth="1"/>
    <col min="2" max="2" width="5.625" style="2" customWidth="1"/>
    <col min="3" max="4" width="8.125" style="2" customWidth="1"/>
    <col min="5" max="5" width="7.5" style="2" customWidth="1"/>
    <col min="6" max="6" width="5.625" style="2" customWidth="1"/>
    <col min="7" max="8" width="8.125" style="2" customWidth="1"/>
    <col min="9" max="9" width="7.5" style="2" customWidth="1"/>
    <col min="10" max="10" width="5.625" style="2" customWidth="1"/>
    <col min="11" max="12" width="8.125" style="2" customWidth="1"/>
    <col min="13" max="13" width="7.5" style="2" customWidth="1"/>
    <col min="14" max="14" width="5.625" style="2" customWidth="1"/>
    <col min="15" max="16" width="8.125" style="2" customWidth="1"/>
    <col min="17" max="17" width="7.5" style="2" customWidth="1"/>
    <col min="18" max="18" width="5.625" style="2" customWidth="1"/>
    <col min="19" max="20" width="8.125" style="2" customWidth="1"/>
    <col min="21" max="21" width="7.5" style="2" customWidth="1"/>
    <col min="22" max="22" width="5.625" style="2" customWidth="1"/>
    <col min="23" max="23" width="8.125" style="2" customWidth="1"/>
    <col min="24" max="24" width="9.125" style="2" customWidth="1"/>
    <col min="25" max="38" width="5.625" style="2" customWidth="1"/>
    <col min="39" max="42" width="3.625" customWidth="1"/>
  </cols>
  <sheetData>
    <row r="1" spans="1:25" s="2" customFormat="1" ht="21" customHeight="1" x14ac:dyDescent="0.25">
      <c r="A1" s="356" t="s">
        <v>9</v>
      </c>
      <c r="B1" s="341" t="s">
        <v>7</v>
      </c>
      <c r="C1" s="342"/>
      <c r="D1" s="342"/>
      <c r="E1" s="343"/>
      <c r="F1" s="340" t="s">
        <v>0</v>
      </c>
      <c r="G1" s="340"/>
      <c r="H1" s="340"/>
      <c r="I1" s="340"/>
      <c r="J1" s="340" t="s">
        <v>1</v>
      </c>
      <c r="K1" s="340"/>
      <c r="L1" s="340"/>
      <c r="M1" s="340"/>
      <c r="N1" s="340" t="s">
        <v>2</v>
      </c>
      <c r="O1" s="340"/>
      <c r="P1" s="340"/>
      <c r="Q1" s="340"/>
      <c r="R1" s="340" t="s">
        <v>3</v>
      </c>
      <c r="S1" s="340"/>
      <c r="T1" s="340"/>
      <c r="U1" s="340"/>
      <c r="V1" s="340" t="s">
        <v>4</v>
      </c>
      <c r="W1" s="340"/>
      <c r="X1" s="340"/>
      <c r="Y1" s="4"/>
    </row>
    <row r="2" spans="1:25" s="2" customFormat="1" ht="16.149999999999999" customHeight="1" x14ac:dyDescent="0.25">
      <c r="A2" s="357"/>
      <c r="B2" s="20">
        <v>45474</v>
      </c>
      <c r="C2" s="21" t="s">
        <v>15</v>
      </c>
      <c r="D2" s="24"/>
      <c r="E2" s="22" t="str">
        <f>_xll.XGToL(B2,"日")</f>
        <v>廿六</v>
      </c>
      <c r="F2" s="20">
        <f>B2+1</f>
        <v>45475</v>
      </c>
      <c r="G2" s="21" t="s">
        <v>15</v>
      </c>
      <c r="H2" s="24"/>
      <c r="I2" s="22" t="str">
        <f>_xll.XGToL(F2,"日")</f>
        <v>廿七</v>
      </c>
      <c r="J2" s="25">
        <f>F2+1</f>
        <v>45476</v>
      </c>
      <c r="K2" s="21" t="s">
        <v>15</v>
      </c>
      <c r="L2" s="24"/>
      <c r="M2" s="22" t="str">
        <f>_xll.XGToL(J2,"日")</f>
        <v>廿八</v>
      </c>
      <c r="N2" s="20">
        <f>J2+1</f>
        <v>45477</v>
      </c>
      <c r="O2" s="21" t="str">
        <f>K2</f>
        <v>＊</v>
      </c>
      <c r="P2" s="24"/>
      <c r="Q2" s="22" t="str">
        <f>_xll.XGToL(N2,"日")</f>
        <v>廿九</v>
      </c>
      <c r="R2" s="20">
        <f>N2+1</f>
        <v>45478</v>
      </c>
      <c r="S2" s="21" t="str">
        <f>O2</f>
        <v>＊</v>
      </c>
      <c r="T2" s="24"/>
      <c r="U2" s="22" t="str">
        <f>_xll.XGToL(R2,"日")</f>
        <v>三十</v>
      </c>
      <c r="V2" s="25">
        <f>R2+1</f>
        <v>45479</v>
      </c>
      <c r="W2" s="24" t="str">
        <f>O2</f>
        <v>＊</v>
      </c>
      <c r="X2" s="22" t="str">
        <f>_xll.XGToL(V2,"日")</f>
        <v>初一</v>
      </c>
    </row>
    <row r="3" spans="1:25" s="2" customFormat="1" ht="16.149999999999999" customHeight="1" x14ac:dyDescent="0.25">
      <c r="A3" s="357"/>
      <c r="B3" s="363" t="s">
        <v>106</v>
      </c>
      <c r="C3" s="364"/>
      <c r="D3" s="364"/>
      <c r="E3" s="365"/>
      <c r="F3" s="14">
        <v>0.375</v>
      </c>
      <c r="G3" s="295" t="s">
        <v>81</v>
      </c>
      <c r="H3" s="282"/>
      <c r="I3" s="283"/>
      <c r="J3" s="56">
        <v>0.375</v>
      </c>
      <c r="K3" s="293" t="s">
        <v>65</v>
      </c>
      <c r="L3" s="293"/>
      <c r="M3" s="294"/>
      <c r="N3" s="62">
        <v>0.375</v>
      </c>
      <c r="O3" s="304" t="s">
        <v>77</v>
      </c>
      <c r="P3" s="302"/>
      <c r="Q3" s="303"/>
      <c r="R3" s="59">
        <v>0.375</v>
      </c>
      <c r="S3" s="276" t="s">
        <v>53</v>
      </c>
      <c r="T3" s="277"/>
      <c r="U3" s="278"/>
      <c r="V3" s="15">
        <v>0.375</v>
      </c>
      <c r="W3" s="282" t="s">
        <v>10</v>
      </c>
      <c r="X3" s="283"/>
    </row>
    <row r="4" spans="1:25" s="2" customFormat="1" ht="16.149999999999999" customHeight="1" x14ac:dyDescent="0.25">
      <c r="A4" s="357"/>
      <c r="B4" s="366"/>
      <c r="C4" s="364"/>
      <c r="D4" s="364"/>
      <c r="E4" s="365"/>
      <c r="F4" s="14">
        <v>0.41666666666666669</v>
      </c>
      <c r="G4" s="295" t="s">
        <v>82</v>
      </c>
      <c r="H4" s="282"/>
      <c r="I4" s="283"/>
      <c r="J4" s="59">
        <v>0.375</v>
      </c>
      <c r="K4" s="276" t="s">
        <v>107</v>
      </c>
      <c r="L4" s="276"/>
      <c r="M4" s="306"/>
      <c r="N4" s="14">
        <v>0.41666666666666669</v>
      </c>
      <c r="O4" s="282" t="s">
        <v>11</v>
      </c>
      <c r="P4" s="282"/>
      <c r="Q4" s="283"/>
      <c r="R4" s="14">
        <v>0.41666666666666669</v>
      </c>
      <c r="S4" s="295" t="s">
        <v>69</v>
      </c>
      <c r="T4" s="282"/>
      <c r="U4" s="283"/>
      <c r="V4" s="15">
        <v>0.39583333333333331</v>
      </c>
      <c r="W4" s="296" t="s">
        <v>40</v>
      </c>
      <c r="X4" s="283"/>
    </row>
    <row r="5" spans="1:25" s="2" customFormat="1" ht="16.149999999999999" customHeight="1" x14ac:dyDescent="0.25">
      <c r="A5" s="357"/>
      <c r="B5" s="366"/>
      <c r="C5" s="364"/>
      <c r="D5" s="364"/>
      <c r="E5" s="365"/>
      <c r="F5" s="28">
        <v>0.4375</v>
      </c>
      <c r="G5" s="282" t="s">
        <v>13</v>
      </c>
      <c r="H5" s="282"/>
      <c r="I5" s="283"/>
      <c r="J5" s="28">
        <v>0.4375</v>
      </c>
      <c r="K5" s="282" t="s">
        <v>13</v>
      </c>
      <c r="L5" s="282"/>
      <c r="M5" s="283"/>
      <c r="N5" s="14">
        <v>0.41666666666666669</v>
      </c>
      <c r="O5" s="282" t="s">
        <v>12</v>
      </c>
      <c r="P5" s="282"/>
      <c r="Q5" s="283"/>
      <c r="R5" s="28">
        <v>0.4375</v>
      </c>
      <c r="S5" s="282" t="s">
        <v>13</v>
      </c>
      <c r="T5" s="282"/>
      <c r="U5" s="283"/>
      <c r="V5" s="15"/>
      <c r="W5" s="282"/>
      <c r="X5" s="283"/>
    </row>
    <row r="6" spans="1:25" s="2" customFormat="1" ht="16.149999999999999" customHeight="1" x14ac:dyDescent="0.25">
      <c r="A6" s="357"/>
      <c r="B6" s="366"/>
      <c r="C6" s="364"/>
      <c r="D6" s="364"/>
      <c r="E6" s="365"/>
      <c r="F6" s="53">
        <v>8.3333333333333329E-2</v>
      </c>
      <c r="G6" s="279" t="s">
        <v>66</v>
      </c>
      <c r="H6" s="280"/>
      <c r="I6" s="281"/>
      <c r="J6" s="62">
        <v>8.3333333333333329E-2</v>
      </c>
      <c r="K6" s="307" t="s">
        <v>93</v>
      </c>
      <c r="L6" s="302"/>
      <c r="M6" s="303"/>
      <c r="N6" s="28">
        <v>0.4375</v>
      </c>
      <c r="O6" s="282" t="s">
        <v>13</v>
      </c>
      <c r="P6" s="282"/>
      <c r="Q6" s="283"/>
      <c r="R6" s="65">
        <v>8.3333333333333329E-2</v>
      </c>
      <c r="S6" s="310" t="s">
        <v>99</v>
      </c>
      <c r="T6" s="311"/>
      <c r="U6" s="312"/>
      <c r="V6" s="29"/>
      <c r="W6" s="344"/>
      <c r="X6" s="345"/>
    </row>
    <row r="7" spans="1:25" s="2" customFormat="1" ht="16.149999999999999" customHeight="1" x14ac:dyDescent="0.25">
      <c r="A7" s="357"/>
      <c r="B7" s="366"/>
      <c r="C7" s="364"/>
      <c r="D7" s="364"/>
      <c r="E7" s="365"/>
      <c r="F7" s="59">
        <v>8.3333333333333329E-2</v>
      </c>
      <c r="G7" s="276" t="s">
        <v>59</v>
      </c>
      <c r="H7" s="277"/>
      <c r="I7" s="278"/>
      <c r="J7" s="66">
        <v>8.3333333333333329E-2</v>
      </c>
      <c r="K7" s="319" t="s">
        <v>103</v>
      </c>
      <c r="L7" s="319"/>
      <c r="M7" s="320"/>
      <c r="N7" s="62">
        <v>8.3333333333333329E-2</v>
      </c>
      <c r="O7" s="304" t="s">
        <v>95</v>
      </c>
      <c r="P7" s="302"/>
      <c r="Q7" s="303"/>
      <c r="R7" s="56">
        <v>8.3333333333333329E-2</v>
      </c>
      <c r="S7" s="293" t="s">
        <v>64</v>
      </c>
      <c r="T7" s="293"/>
      <c r="U7" s="294"/>
      <c r="V7" s="298" t="s">
        <v>5</v>
      </c>
      <c r="W7" s="298"/>
      <c r="X7" s="299"/>
    </row>
    <row r="8" spans="1:25" s="2" customFormat="1" ht="16.149999999999999" customHeight="1" x14ac:dyDescent="0.25">
      <c r="A8" s="357"/>
      <c r="B8" s="366"/>
      <c r="C8" s="364"/>
      <c r="D8" s="364"/>
      <c r="E8" s="365"/>
      <c r="F8" s="31"/>
      <c r="G8" s="32"/>
      <c r="H8" s="32"/>
      <c r="I8" s="33"/>
      <c r="J8" s="31"/>
      <c r="K8" s="32"/>
      <c r="L8" s="67"/>
      <c r="M8" s="33"/>
      <c r="N8" s="61"/>
      <c r="O8" s="315"/>
      <c r="P8" s="316"/>
      <c r="Q8" s="317"/>
      <c r="R8" s="14">
        <v>0.125</v>
      </c>
      <c r="S8" s="308" t="s">
        <v>63</v>
      </c>
      <c r="T8" s="308"/>
      <c r="U8" s="309"/>
      <c r="V8" s="298"/>
      <c r="W8" s="298"/>
      <c r="X8" s="299"/>
    </row>
    <row r="9" spans="1:25" s="2" customFormat="1" ht="15.75" customHeight="1" x14ac:dyDescent="0.25">
      <c r="A9" s="357"/>
      <c r="B9" s="367"/>
      <c r="C9" s="368"/>
      <c r="D9" s="368"/>
      <c r="E9" s="369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14">
        <v>0.14583333333333334</v>
      </c>
      <c r="S9" s="308" t="s">
        <v>51</v>
      </c>
      <c r="T9" s="308"/>
      <c r="U9" s="309"/>
      <c r="V9" s="37"/>
      <c r="W9" s="313"/>
      <c r="X9" s="314"/>
    </row>
    <row r="10" spans="1:25" s="2" customFormat="1" ht="16.149999999999999" customHeight="1" x14ac:dyDescent="0.25">
      <c r="A10" s="357"/>
      <c r="B10" s="20">
        <f>V2+2</f>
        <v>45481</v>
      </c>
      <c r="C10" s="21" t="s">
        <v>15</v>
      </c>
      <c r="D10" s="38"/>
      <c r="E10" s="23" t="str">
        <f>_xll.XGToL(B10,"日")</f>
        <v>初三</v>
      </c>
      <c r="F10" s="20">
        <f>B10+1</f>
        <v>45482</v>
      </c>
      <c r="G10" s="38" t="str">
        <f>C10</f>
        <v>＊</v>
      </c>
      <c r="H10" s="38"/>
      <c r="I10" s="22" t="str">
        <f>_xll.XGToL(F10,"日")</f>
        <v>初四</v>
      </c>
      <c r="J10" s="25">
        <f>F10+1</f>
        <v>45483</v>
      </c>
      <c r="K10" s="24" t="str">
        <f>C10</f>
        <v>＊</v>
      </c>
      <c r="L10" s="24"/>
      <c r="M10" s="22" t="str">
        <f>_xll.XGToL(J10,"日")</f>
        <v>初五</v>
      </c>
      <c r="N10" s="20">
        <f>J10+1</f>
        <v>45484</v>
      </c>
      <c r="O10" s="24" t="str">
        <f>C10</f>
        <v>＊</v>
      </c>
      <c r="P10" s="24"/>
      <c r="Q10" s="22" t="str">
        <f>_xll.XGToL(N10,"日")</f>
        <v>初六</v>
      </c>
      <c r="R10" s="20">
        <f>N10+1</f>
        <v>45485</v>
      </c>
      <c r="S10" s="24" t="str">
        <f>C10</f>
        <v>＊</v>
      </c>
      <c r="T10" s="24"/>
      <c r="U10" s="23" t="str">
        <f>_xll.XGToL(R10,"日")</f>
        <v>初七</v>
      </c>
      <c r="V10" s="20">
        <f>R10+1</f>
        <v>45486</v>
      </c>
      <c r="W10" s="24" t="str">
        <f>C10</f>
        <v>＊</v>
      </c>
      <c r="X10" s="22" t="str">
        <f>_xll.XGToL(V10,"日")</f>
        <v>初八</v>
      </c>
    </row>
    <row r="11" spans="1:25" s="2" customFormat="1" ht="16.149999999999999" customHeight="1" x14ac:dyDescent="0.25">
      <c r="A11" s="357"/>
      <c r="B11" s="62">
        <v>0.375</v>
      </c>
      <c r="C11" s="304" t="s">
        <v>76</v>
      </c>
      <c r="D11" s="302"/>
      <c r="E11" s="303"/>
      <c r="F11" s="14">
        <v>0.375</v>
      </c>
      <c r="G11" s="295" t="s">
        <v>83</v>
      </c>
      <c r="H11" s="282"/>
      <c r="I11" s="283"/>
      <c r="J11" s="56">
        <v>0.375</v>
      </c>
      <c r="K11" s="293" t="s">
        <v>30</v>
      </c>
      <c r="L11" s="293"/>
      <c r="M11" s="294"/>
      <c r="N11" s="62">
        <v>0.375</v>
      </c>
      <c r="O11" s="304" t="s">
        <v>78</v>
      </c>
      <c r="P11" s="302"/>
      <c r="Q11" s="303"/>
      <c r="R11" s="59">
        <v>0.375</v>
      </c>
      <c r="S11" s="276" t="s">
        <v>54</v>
      </c>
      <c r="T11" s="277"/>
      <c r="U11" s="278"/>
      <c r="V11" s="14">
        <v>0.375</v>
      </c>
      <c r="W11" s="282" t="s">
        <v>10</v>
      </c>
      <c r="X11" s="283"/>
      <c r="Y11" s="11"/>
    </row>
    <row r="12" spans="1:25" s="2" customFormat="1" ht="16.149999999999999" customHeight="1" x14ac:dyDescent="0.25">
      <c r="A12" s="357"/>
      <c r="B12" s="55">
        <v>0.41666666666666669</v>
      </c>
      <c r="C12" s="346" t="s">
        <v>33</v>
      </c>
      <c r="D12" s="346"/>
      <c r="E12" s="347"/>
      <c r="F12" s="14">
        <v>0.41666666666666669</v>
      </c>
      <c r="G12" s="295" t="s">
        <v>84</v>
      </c>
      <c r="H12" s="282"/>
      <c r="I12" s="283"/>
      <c r="J12" s="57">
        <v>0.39583333333333331</v>
      </c>
      <c r="K12" s="346" t="s">
        <v>32</v>
      </c>
      <c r="L12" s="346"/>
      <c r="M12" s="347"/>
      <c r="N12" s="14">
        <v>0.41666666666666669</v>
      </c>
      <c r="O12" s="282" t="s">
        <v>11</v>
      </c>
      <c r="P12" s="282"/>
      <c r="Q12" s="283"/>
      <c r="R12" s="14">
        <v>0.41666666666666669</v>
      </c>
      <c r="S12" s="295" t="s">
        <v>70</v>
      </c>
      <c r="T12" s="282"/>
      <c r="U12" s="283"/>
      <c r="V12" s="15">
        <v>0.39583333333333331</v>
      </c>
      <c r="W12" s="296" t="s">
        <v>40</v>
      </c>
      <c r="X12" s="283"/>
    </row>
    <row r="13" spans="1:25" s="2" customFormat="1" ht="16.149999999999999" customHeight="1" x14ac:dyDescent="0.25">
      <c r="A13" s="357"/>
      <c r="B13" s="28">
        <v>0.4375</v>
      </c>
      <c r="C13" s="282" t="s">
        <v>13</v>
      </c>
      <c r="D13" s="282"/>
      <c r="E13" s="283"/>
      <c r="F13" s="28">
        <v>0.4375</v>
      </c>
      <c r="G13" s="282" t="s">
        <v>13</v>
      </c>
      <c r="H13" s="282"/>
      <c r="I13" s="283"/>
      <c r="J13" s="28">
        <v>0.4375</v>
      </c>
      <c r="K13" s="282" t="s">
        <v>13</v>
      </c>
      <c r="L13" s="282"/>
      <c r="M13" s="283"/>
      <c r="N13" s="14">
        <v>0.41666666666666669</v>
      </c>
      <c r="O13" s="282" t="s">
        <v>12</v>
      </c>
      <c r="P13" s="282"/>
      <c r="Q13" s="283"/>
      <c r="R13" s="28">
        <v>0.4375</v>
      </c>
      <c r="S13" s="282" t="s">
        <v>13</v>
      </c>
      <c r="T13" s="282"/>
      <c r="U13" s="283"/>
      <c r="V13" s="14"/>
      <c r="W13" s="300"/>
      <c r="X13" s="301"/>
    </row>
    <row r="14" spans="1:25" s="2" customFormat="1" ht="16.149999999999999" customHeight="1" x14ac:dyDescent="0.25">
      <c r="A14" s="358"/>
      <c r="B14" s="59">
        <v>8.3333333333333329E-2</v>
      </c>
      <c r="C14" s="348" t="s">
        <v>41</v>
      </c>
      <c r="D14" s="348"/>
      <c r="E14" s="349"/>
      <c r="F14" s="53">
        <v>8.3333333333333329E-2</v>
      </c>
      <c r="G14" s="279" t="s">
        <v>67</v>
      </c>
      <c r="H14" s="280"/>
      <c r="I14" s="281"/>
      <c r="J14" s="62">
        <v>8.3333333333333329E-2</v>
      </c>
      <c r="K14" s="307" t="s">
        <v>94</v>
      </c>
      <c r="L14" s="302"/>
      <c r="M14" s="303"/>
      <c r="N14" s="28">
        <v>0.4375</v>
      </c>
      <c r="O14" s="282" t="s">
        <v>13</v>
      </c>
      <c r="P14" s="282"/>
      <c r="Q14" s="283"/>
      <c r="R14" s="65">
        <v>8.3333333333333329E-2</v>
      </c>
      <c r="S14" s="310" t="s">
        <v>29</v>
      </c>
      <c r="T14" s="311"/>
      <c r="U14" s="312"/>
      <c r="V14" s="27"/>
      <c r="W14" s="39"/>
      <c r="X14" s="40"/>
    </row>
    <row r="15" spans="1:25" s="2" customFormat="1" ht="16.149999999999999" customHeight="1" x14ac:dyDescent="0.25">
      <c r="A15" s="357"/>
      <c r="B15" s="14"/>
      <c r="E15" s="30"/>
      <c r="F15" s="59">
        <v>8.3333333333333329E-2</v>
      </c>
      <c r="G15" s="276" t="s">
        <v>60</v>
      </c>
      <c r="H15" s="277"/>
      <c r="I15" s="278"/>
      <c r="J15" s="66">
        <v>8.3333333333333329E-2</v>
      </c>
      <c r="K15" s="319" t="s">
        <v>104</v>
      </c>
      <c r="L15" s="319"/>
      <c r="M15" s="320"/>
      <c r="N15" s="62">
        <v>8.3333333333333329E-2</v>
      </c>
      <c r="O15" s="302" t="s">
        <v>96</v>
      </c>
      <c r="P15" s="302"/>
      <c r="Q15" s="303"/>
      <c r="R15" s="14">
        <v>0.14583333333333334</v>
      </c>
      <c r="S15" s="318" t="s">
        <v>91</v>
      </c>
      <c r="T15" s="308"/>
      <c r="U15" s="309"/>
      <c r="V15" s="297" t="s">
        <v>5</v>
      </c>
      <c r="W15" s="298"/>
      <c r="X15" s="299"/>
    </row>
    <row r="16" spans="1:25" s="2" customFormat="1" ht="16.149999999999999" customHeight="1" x14ac:dyDescent="0.25">
      <c r="A16" s="357"/>
      <c r="B16" s="31"/>
      <c r="C16" s="32"/>
      <c r="D16" s="32"/>
      <c r="E16" s="33"/>
      <c r="F16" s="61"/>
      <c r="G16" s="315"/>
      <c r="H16" s="316"/>
      <c r="I16" s="317"/>
      <c r="J16" s="31"/>
      <c r="K16" s="32"/>
      <c r="L16" s="32"/>
      <c r="M16" s="33"/>
      <c r="N16" s="14"/>
      <c r="O16" s="282"/>
      <c r="P16" s="282"/>
      <c r="Q16" s="283"/>
      <c r="R16" s="14"/>
      <c r="S16" s="318"/>
      <c r="T16" s="308"/>
      <c r="U16" s="309"/>
      <c r="V16" s="297"/>
      <c r="W16" s="298"/>
      <c r="X16" s="299"/>
    </row>
    <row r="17" spans="1:26" s="2" customFormat="1" ht="16.149999999999999" customHeight="1" x14ac:dyDescent="0.25">
      <c r="A17" s="357"/>
      <c r="B17" s="34"/>
      <c r="C17" s="35"/>
      <c r="D17" s="35"/>
      <c r="E17" s="36"/>
      <c r="F17" s="34"/>
      <c r="G17" s="35"/>
      <c r="H17" s="35"/>
      <c r="I17" s="36"/>
      <c r="J17" s="34"/>
      <c r="K17" s="35"/>
      <c r="L17" s="35"/>
      <c r="M17" s="36"/>
      <c r="N17" s="34"/>
      <c r="O17" s="35"/>
      <c r="P17" s="35"/>
      <c r="Q17" s="36"/>
      <c r="R17" s="34"/>
      <c r="S17" s="35"/>
      <c r="T17" s="35"/>
      <c r="U17" s="36"/>
      <c r="V17" s="41"/>
      <c r="W17" s="42"/>
      <c r="X17" s="43"/>
    </row>
    <row r="18" spans="1:26" s="2" customFormat="1" ht="16.149999999999999" customHeight="1" x14ac:dyDescent="0.25">
      <c r="A18" s="357"/>
      <c r="B18" s="20">
        <f>V10+2</f>
        <v>45488</v>
      </c>
      <c r="C18" s="21" t="s">
        <v>15</v>
      </c>
      <c r="D18" s="38"/>
      <c r="E18" s="22" t="str">
        <f>_xll.XGToL(B18,"日")</f>
        <v>初十</v>
      </c>
      <c r="F18" s="25">
        <f>B18+1</f>
        <v>45489</v>
      </c>
      <c r="G18" s="38" t="str">
        <f>C18</f>
        <v>＊</v>
      </c>
      <c r="H18" s="38"/>
      <c r="I18" s="22" t="str">
        <f>_xll.XGToL(F18,"日")</f>
        <v>十一</v>
      </c>
      <c r="J18" s="20">
        <f>F18+1</f>
        <v>45490</v>
      </c>
      <c r="K18" s="24" t="str">
        <f>C18</f>
        <v>＊</v>
      </c>
      <c r="L18" s="24"/>
      <c r="M18" s="22" t="str">
        <f>_xll.XGToL(J18,"日")</f>
        <v>十二</v>
      </c>
      <c r="N18" s="20">
        <f>J18+1</f>
        <v>45491</v>
      </c>
      <c r="O18" s="24" t="str">
        <f>C18</f>
        <v>＊</v>
      </c>
      <c r="P18" s="24"/>
      <c r="Q18" s="22" t="str">
        <f>_xll.XGToL(N18,"日")</f>
        <v>十三</v>
      </c>
      <c r="R18" s="20">
        <f>N18+1</f>
        <v>45492</v>
      </c>
      <c r="S18" s="24" t="str">
        <f>C18</f>
        <v>＊</v>
      </c>
      <c r="T18" s="24"/>
      <c r="U18" s="22" t="str">
        <f>_xll.XGToL(R18,"日")</f>
        <v>十四</v>
      </c>
      <c r="V18" s="20">
        <f>R18+1</f>
        <v>45493</v>
      </c>
      <c r="W18" s="24" t="str">
        <f>C18</f>
        <v>＊</v>
      </c>
      <c r="X18" s="22" t="str">
        <f>_xll.XGToL(V18,"日")</f>
        <v>十五</v>
      </c>
    </row>
    <row r="19" spans="1:26" s="2" customFormat="1" ht="16.149999999999999" customHeight="1" x14ac:dyDescent="0.25">
      <c r="A19" s="357"/>
      <c r="B19" s="62">
        <v>0.375</v>
      </c>
      <c r="C19" s="304" t="s">
        <v>75</v>
      </c>
      <c r="D19" s="302"/>
      <c r="E19" s="303"/>
      <c r="F19" s="14">
        <v>0.375</v>
      </c>
      <c r="G19" s="295" t="s">
        <v>85</v>
      </c>
      <c r="H19" s="282"/>
      <c r="I19" s="283"/>
      <c r="J19" s="59">
        <v>0.375</v>
      </c>
      <c r="K19" s="276" t="s">
        <v>90</v>
      </c>
      <c r="L19" s="276"/>
      <c r="M19" s="306"/>
      <c r="N19" s="62">
        <v>0.375</v>
      </c>
      <c r="O19" s="304" t="s">
        <v>79</v>
      </c>
      <c r="P19" s="302"/>
      <c r="Q19" s="303"/>
      <c r="R19" s="59">
        <v>0.375</v>
      </c>
      <c r="S19" s="276" t="s">
        <v>55</v>
      </c>
      <c r="T19" s="277"/>
      <c r="U19" s="278"/>
      <c r="V19" s="14">
        <v>0.375</v>
      </c>
      <c r="W19" s="282" t="s">
        <v>10</v>
      </c>
      <c r="X19" s="283"/>
    </row>
    <row r="20" spans="1:26" s="2" customFormat="1" ht="16.149999999999999" customHeight="1" x14ac:dyDescent="0.25">
      <c r="A20" s="357"/>
      <c r="B20" s="55">
        <v>0.41666666666666669</v>
      </c>
      <c r="C20" s="346" t="s">
        <v>34</v>
      </c>
      <c r="D20" s="293"/>
      <c r="E20" s="294"/>
      <c r="F20" s="14">
        <v>0.41666666666666669</v>
      </c>
      <c r="G20" s="295" t="s">
        <v>86</v>
      </c>
      <c r="H20" s="282"/>
      <c r="I20" s="283"/>
      <c r="J20" s="60">
        <v>0.41666666666666669</v>
      </c>
      <c r="K20" s="330" t="s">
        <v>49</v>
      </c>
      <c r="L20" s="331"/>
      <c r="M20" s="332"/>
      <c r="N20" s="14">
        <v>0.41666666666666669</v>
      </c>
      <c r="O20" s="282" t="s">
        <v>11</v>
      </c>
      <c r="P20" s="282"/>
      <c r="Q20" s="283"/>
      <c r="R20" s="14">
        <v>0.41666666666666669</v>
      </c>
      <c r="S20" s="295" t="s">
        <v>71</v>
      </c>
      <c r="T20" s="282"/>
      <c r="U20" s="283"/>
      <c r="V20" s="15">
        <v>0.39583333333333331</v>
      </c>
      <c r="W20" s="296" t="s">
        <v>40</v>
      </c>
      <c r="X20" s="283"/>
      <c r="Y20" s="17"/>
    </row>
    <row r="21" spans="1:26" s="2" customFormat="1" ht="16.149999999999999" customHeight="1" x14ac:dyDescent="0.25">
      <c r="A21" s="357"/>
      <c r="B21" s="28">
        <v>0.4375</v>
      </c>
      <c r="C21" s="282" t="s">
        <v>13</v>
      </c>
      <c r="D21" s="282"/>
      <c r="E21" s="283"/>
      <c r="F21" s="28">
        <v>0.4375</v>
      </c>
      <c r="G21" s="282" t="s">
        <v>13</v>
      </c>
      <c r="H21" s="282"/>
      <c r="I21" s="283"/>
      <c r="J21" s="28">
        <v>0.4375</v>
      </c>
      <c r="K21" s="282" t="s">
        <v>13</v>
      </c>
      <c r="L21" s="282"/>
      <c r="M21" s="283"/>
      <c r="N21" s="28">
        <v>0.4375</v>
      </c>
      <c r="O21" s="282" t="s">
        <v>12</v>
      </c>
      <c r="P21" s="282"/>
      <c r="Q21" s="283"/>
      <c r="R21" s="28">
        <v>0.4375</v>
      </c>
      <c r="S21" s="282" t="s">
        <v>13</v>
      </c>
      <c r="T21" s="282"/>
      <c r="U21" s="283"/>
      <c r="V21" s="14"/>
      <c r="W21" s="282"/>
      <c r="X21" s="283"/>
      <c r="Y21" s="17"/>
    </row>
    <row r="22" spans="1:26" s="2" customFormat="1" ht="16.149999999999999" customHeight="1" x14ac:dyDescent="0.25">
      <c r="A22" s="357"/>
      <c r="B22" s="59">
        <v>8.3333333333333329E-2</v>
      </c>
      <c r="C22" s="348" t="s">
        <v>42</v>
      </c>
      <c r="D22" s="348"/>
      <c r="E22" s="349"/>
      <c r="F22" s="53">
        <v>8.3333333333333329E-2</v>
      </c>
      <c r="G22" s="279" t="s">
        <v>68</v>
      </c>
      <c r="H22" s="280"/>
      <c r="I22" s="281"/>
      <c r="J22" s="14">
        <v>8.3333333333333329E-2</v>
      </c>
      <c r="K22" s="335" t="s">
        <v>37</v>
      </c>
      <c r="L22" s="335"/>
      <c r="M22" s="336"/>
      <c r="N22" s="28">
        <v>0.4375</v>
      </c>
      <c r="O22" s="282" t="s">
        <v>13</v>
      </c>
      <c r="P22" s="282"/>
      <c r="Q22" s="283"/>
      <c r="R22" s="65">
        <v>8.3333333333333329E-2</v>
      </c>
      <c r="S22" s="310" t="s">
        <v>50</v>
      </c>
      <c r="T22" s="311"/>
      <c r="U22" s="312"/>
      <c r="V22" s="44"/>
      <c r="W22" s="29"/>
      <c r="X22" s="45"/>
    </row>
    <row r="23" spans="1:26" s="2" customFormat="1" ht="16.149999999999999" customHeight="1" x14ac:dyDescent="0.25">
      <c r="A23" s="357"/>
      <c r="B23" s="14"/>
      <c r="C23" s="335"/>
      <c r="D23" s="335"/>
      <c r="E23" s="336"/>
      <c r="F23" s="59">
        <v>8.3333333333333329E-2</v>
      </c>
      <c r="G23" s="276" t="s">
        <v>62</v>
      </c>
      <c r="H23" s="277"/>
      <c r="I23" s="278"/>
      <c r="J23" s="14">
        <v>0.10416666666666667</v>
      </c>
      <c r="K23" s="335" t="s">
        <v>38</v>
      </c>
      <c r="L23" s="335"/>
      <c r="M23" s="336"/>
      <c r="N23" s="63">
        <v>8.3333333333333329E-2</v>
      </c>
      <c r="O23" s="304" t="s">
        <v>97</v>
      </c>
      <c r="P23" s="304"/>
      <c r="Q23" s="305"/>
      <c r="R23" s="14">
        <v>0.125</v>
      </c>
      <c r="S23" s="308" t="s">
        <v>63</v>
      </c>
      <c r="T23" s="308"/>
      <c r="U23" s="309"/>
      <c r="V23" s="297" t="s">
        <v>5</v>
      </c>
      <c r="W23" s="298"/>
      <c r="X23" s="299"/>
      <c r="Z23" s="5"/>
    </row>
    <row r="24" spans="1:26" s="2" customFormat="1" ht="16.149999999999999" customHeight="1" x14ac:dyDescent="0.25">
      <c r="A24" s="357"/>
      <c r="B24" s="14"/>
      <c r="C24" s="335"/>
      <c r="D24" s="335"/>
      <c r="E24" s="336"/>
      <c r="F24" s="31"/>
      <c r="G24" s="32"/>
      <c r="H24" s="32"/>
      <c r="I24" s="33"/>
      <c r="J24" s="14">
        <v>0.125</v>
      </c>
      <c r="K24" s="335" t="s">
        <v>14</v>
      </c>
      <c r="L24" s="335"/>
      <c r="M24" s="336"/>
      <c r="N24" s="61"/>
      <c r="O24" s="337"/>
      <c r="P24" s="338"/>
      <c r="Q24" s="339"/>
      <c r="R24" s="14">
        <v>0.14583333333333334</v>
      </c>
      <c r="S24" s="308" t="s">
        <v>51</v>
      </c>
      <c r="T24" s="308"/>
      <c r="U24" s="309"/>
      <c r="V24" s="297"/>
      <c r="W24" s="298"/>
      <c r="X24" s="299"/>
    </row>
    <row r="25" spans="1:26" s="2" customFormat="1" ht="16.149999999999999" customHeight="1" x14ac:dyDescent="0.25">
      <c r="A25" s="357"/>
      <c r="B25" s="34"/>
      <c r="C25" s="35"/>
      <c r="D25" s="35"/>
      <c r="E25" s="36"/>
      <c r="F25" s="34"/>
      <c r="G25" s="35"/>
      <c r="H25" s="35"/>
      <c r="I25" s="36"/>
      <c r="J25" s="14"/>
      <c r="K25" s="335"/>
      <c r="L25" s="335"/>
      <c r="M25" s="336"/>
      <c r="N25" s="34"/>
      <c r="O25" s="35"/>
      <c r="P25" s="35"/>
      <c r="Q25" s="36"/>
      <c r="R25" s="14"/>
      <c r="S25" s="308"/>
      <c r="T25" s="308"/>
      <c r="U25" s="309"/>
      <c r="V25" s="46"/>
      <c r="W25" s="47"/>
      <c r="X25" s="48"/>
    </row>
    <row r="26" spans="1:26" s="2" customFormat="1" ht="16.149999999999999" customHeight="1" x14ac:dyDescent="0.25">
      <c r="A26" s="357"/>
      <c r="B26" s="20">
        <f>V18+2</f>
        <v>45495</v>
      </c>
      <c r="C26" s="21" t="s">
        <v>16</v>
      </c>
      <c r="D26" s="38"/>
      <c r="E26" s="22" t="str">
        <f>_xll.XGToL(B26,"日")</f>
        <v>十七</v>
      </c>
      <c r="F26" s="20">
        <f>B26+1</f>
        <v>45496</v>
      </c>
      <c r="G26" s="38" t="str">
        <f>C26</f>
        <v>＃</v>
      </c>
      <c r="H26" s="38"/>
      <c r="I26" s="22" t="str">
        <f>_xll.XGToL(F26,"日")</f>
        <v>十八</v>
      </c>
      <c r="J26" s="20">
        <f>F26+1</f>
        <v>45497</v>
      </c>
      <c r="K26" s="24" t="str">
        <f>C26</f>
        <v>＃</v>
      </c>
      <c r="L26" s="24"/>
      <c r="M26" s="22" t="str">
        <f>_xll.XGToL(J26,"日")</f>
        <v>十九</v>
      </c>
      <c r="N26" s="25">
        <f>J26+1</f>
        <v>45498</v>
      </c>
      <c r="O26" s="24" t="str">
        <f>C26</f>
        <v>＃</v>
      </c>
      <c r="P26" s="24"/>
      <c r="Q26" s="22" t="str">
        <f>_xll.XGToL(N26,"日")</f>
        <v>二十</v>
      </c>
      <c r="R26" s="20">
        <f>N26+1</f>
        <v>45499</v>
      </c>
      <c r="S26" s="24" t="str">
        <f>C26</f>
        <v>＃</v>
      </c>
      <c r="T26" s="24"/>
      <c r="U26" s="22" t="str">
        <f>_xll.XGToL(R26,"日")</f>
        <v>廿一</v>
      </c>
      <c r="V26" s="20">
        <f>R26+1</f>
        <v>45500</v>
      </c>
      <c r="W26" s="24" t="str">
        <f>C26</f>
        <v>＃</v>
      </c>
      <c r="X26" s="22" t="str">
        <f>_xll.XGToL(V26,"日")</f>
        <v>廿二</v>
      </c>
    </row>
    <row r="27" spans="1:26" s="2" customFormat="1" ht="16.149999999999999" customHeight="1" x14ac:dyDescent="0.25">
      <c r="A27" s="357"/>
      <c r="B27" s="62">
        <v>0.375</v>
      </c>
      <c r="C27" s="304" t="s">
        <v>74</v>
      </c>
      <c r="D27" s="302"/>
      <c r="E27" s="303"/>
      <c r="F27" s="14">
        <v>0.375</v>
      </c>
      <c r="G27" s="295" t="s">
        <v>87</v>
      </c>
      <c r="H27" s="282"/>
      <c r="I27" s="283"/>
      <c r="J27" s="56">
        <v>0.375</v>
      </c>
      <c r="K27" s="293" t="s">
        <v>25</v>
      </c>
      <c r="L27" s="293"/>
      <c r="M27" s="294"/>
      <c r="N27" s="64">
        <v>0.375</v>
      </c>
      <c r="O27" s="304" t="s">
        <v>80</v>
      </c>
      <c r="P27" s="302"/>
      <c r="Q27" s="303"/>
      <c r="R27" s="59">
        <v>0.375</v>
      </c>
      <c r="S27" s="276" t="s">
        <v>56</v>
      </c>
      <c r="T27" s="277"/>
      <c r="U27" s="278"/>
      <c r="V27" s="14">
        <v>0.375</v>
      </c>
      <c r="W27" s="282" t="s">
        <v>10</v>
      </c>
      <c r="X27" s="283"/>
    </row>
    <row r="28" spans="1:26" s="2" customFormat="1" ht="16.149999999999999" customHeight="1" x14ac:dyDescent="0.25">
      <c r="A28" s="357"/>
      <c r="B28" s="14">
        <v>0.41666666666666669</v>
      </c>
      <c r="C28" s="373" t="s">
        <v>58</v>
      </c>
      <c r="D28" s="282"/>
      <c r="E28" s="283"/>
      <c r="F28" s="14">
        <v>0.41666666666666669</v>
      </c>
      <c r="G28" s="295" t="s">
        <v>88</v>
      </c>
      <c r="H28" s="282"/>
      <c r="I28" s="283"/>
      <c r="J28" s="57">
        <v>0.39583333333333331</v>
      </c>
      <c r="K28" s="375" t="s">
        <v>35</v>
      </c>
      <c r="L28" s="375"/>
      <c r="M28" s="376"/>
      <c r="N28" s="15">
        <v>0.41666666666666669</v>
      </c>
      <c r="O28" s="282" t="s">
        <v>11</v>
      </c>
      <c r="P28" s="282"/>
      <c r="Q28" s="283"/>
      <c r="R28" s="14">
        <v>0.41666666666666669</v>
      </c>
      <c r="S28" s="295" t="s">
        <v>72</v>
      </c>
      <c r="T28" s="282"/>
      <c r="U28" s="283"/>
      <c r="V28" s="15">
        <v>0.39583333333333331</v>
      </c>
      <c r="W28" s="296" t="s">
        <v>40</v>
      </c>
      <c r="X28" s="283"/>
      <c r="Y28" s="9"/>
    </row>
    <row r="29" spans="1:26" s="2" customFormat="1" ht="16.149999999999999" customHeight="1" x14ac:dyDescent="0.25">
      <c r="A29" s="357"/>
      <c r="B29" s="28">
        <v>0.4375</v>
      </c>
      <c r="C29" s="282" t="s">
        <v>13</v>
      </c>
      <c r="D29" s="282"/>
      <c r="E29" s="283"/>
      <c r="F29" s="28">
        <v>0.4375</v>
      </c>
      <c r="G29" s="282" t="s">
        <v>13</v>
      </c>
      <c r="H29" s="282"/>
      <c r="I29" s="283"/>
      <c r="J29" s="58"/>
      <c r="K29" s="375"/>
      <c r="L29" s="375"/>
      <c r="M29" s="376"/>
      <c r="N29" s="15">
        <v>0.41666666666666669</v>
      </c>
      <c r="O29" s="282" t="s">
        <v>12</v>
      </c>
      <c r="P29" s="282"/>
      <c r="Q29" s="283"/>
      <c r="R29" s="28">
        <v>0.4375</v>
      </c>
      <c r="S29" s="282" t="s">
        <v>13</v>
      </c>
      <c r="T29" s="282"/>
      <c r="U29" s="283"/>
      <c r="V29" s="49"/>
      <c r="W29" s="333"/>
      <c r="X29" s="334"/>
      <c r="Y29" s="9"/>
    </row>
    <row r="30" spans="1:26" s="2" customFormat="1" ht="16.149999999999999" customHeight="1" x14ac:dyDescent="0.25">
      <c r="A30" s="357"/>
      <c r="B30" s="59">
        <v>8.3333333333333329E-2</v>
      </c>
      <c r="C30" s="348" t="s">
        <v>43</v>
      </c>
      <c r="D30" s="348"/>
      <c r="E30" s="349"/>
      <c r="F30" s="59">
        <v>8.3333333333333329E-2</v>
      </c>
      <c r="G30" s="276" t="s">
        <v>61</v>
      </c>
      <c r="H30" s="277"/>
      <c r="I30" s="278"/>
      <c r="J30" s="28">
        <v>0.4375</v>
      </c>
      <c r="K30" s="282" t="s">
        <v>13</v>
      </c>
      <c r="L30" s="282"/>
      <c r="M30" s="283"/>
      <c r="N30" s="28">
        <v>0.4375</v>
      </c>
      <c r="O30" s="282" t="s">
        <v>13</v>
      </c>
      <c r="P30" s="282"/>
      <c r="Q30" s="283"/>
      <c r="R30" s="65">
        <v>8.3333333333333329E-2</v>
      </c>
      <c r="S30" s="310" t="s">
        <v>100</v>
      </c>
      <c r="T30" s="311"/>
      <c r="U30" s="312"/>
      <c r="V30" s="44"/>
      <c r="W30" s="29"/>
      <c r="X30" s="45"/>
      <c r="Y30" s="9"/>
    </row>
    <row r="31" spans="1:26" s="2" customFormat="1" ht="16.149999999999999" customHeight="1" x14ac:dyDescent="0.25">
      <c r="A31" s="370" t="s">
        <v>36</v>
      </c>
      <c r="B31" s="14"/>
      <c r="E31" s="30"/>
      <c r="F31" s="14">
        <v>8.3333333333333329E-2</v>
      </c>
      <c r="G31" s="293" t="s">
        <v>92</v>
      </c>
      <c r="H31" s="293"/>
      <c r="I31" s="294"/>
      <c r="J31" s="62">
        <v>8.3333333333333329E-2</v>
      </c>
      <c r="K31" s="307" t="s">
        <v>52</v>
      </c>
      <c r="L31" s="302"/>
      <c r="M31" s="303"/>
      <c r="N31" s="62">
        <v>8.3333333333333329E-2</v>
      </c>
      <c r="O31" s="304" t="s">
        <v>98</v>
      </c>
      <c r="P31" s="302"/>
      <c r="Q31" s="303"/>
      <c r="R31" s="14">
        <v>0.14583333333333334</v>
      </c>
      <c r="S31" s="308" t="s">
        <v>51</v>
      </c>
      <c r="T31" s="308"/>
      <c r="U31" s="309"/>
      <c r="V31" s="297" t="s">
        <v>5</v>
      </c>
      <c r="W31" s="298"/>
      <c r="X31" s="299"/>
      <c r="Y31" s="9"/>
    </row>
    <row r="32" spans="1:26" s="2" customFormat="1" ht="16.149999999999999" customHeight="1" x14ac:dyDescent="0.25">
      <c r="A32" s="371"/>
      <c r="B32" s="31"/>
      <c r="C32" s="32"/>
      <c r="D32" s="32"/>
      <c r="E32" s="33"/>
      <c r="F32" s="14"/>
      <c r="G32" s="335"/>
      <c r="H32" s="335"/>
      <c r="I32" s="336"/>
      <c r="J32" s="66">
        <v>8.3333333333333329E-2</v>
      </c>
      <c r="K32" s="319" t="s">
        <v>105</v>
      </c>
      <c r="L32" s="319"/>
      <c r="M32" s="320"/>
      <c r="N32" s="14"/>
      <c r="O32" s="32"/>
      <c r="P32" s="32"/>
      <c r="Q32" s="33"/>
      <c r="R32" s="14"/>
      <c r="S32" s="335"/>
      <c r="T32" s="335"/>
      <c r="U32" s="336"/>
      <c r="V32" s="297"/>
      <c r="W32" s="298"/>
      <c r="X32" s="299"/>
      <c r="Y32" s="9"/>
    </row>
    <row r="33" spans="1:25" s="2" customFormat="1" ht="16.149999999999999" customHeight="1" x14ac:dyDescent="0.25">
      <c r="A33" s="370"/>
      <c r="B33" s="34"/>
      <c r="C33" s="35"/>
      <c r="D33" s="35"/>
      <c r="E33" s="36"/>
      <c r="F33" s="34"/>
      <c r="G33" s="35"/>
      <c r="H33" s="35"/>
      <c r="I33" s="36"/>
      <c r="J33" s="34"/>
      <c r="K33" s="35"/>
      <c r="L33" s="35"/>
      <c r="M33" s="36"/>
      <c r="N33" s="35"/>
      <c r="O33" s="35"/>
      <c r="P33" s="35"/>
      <c r="Q33" s="36"/>
      <c r="R33" s="14"/>
      <c r="S33" s="308"/>
      <c r="T33" s="308"/>
      <c r="U33" s="309"/>
      <c r="V33" s="50"/>
      <c r="W33" s="51"/>
      <c r="X33" s="51"/>
    </row>
    <row r="34" spans="1:25" s="2" customFormat="1" ht="16.149999999999999" customHeight="1" x14ac:dyDescent="0.25">
      <c r="A34" s="370"/>
      <c r="B34" s="20">
        <f>V26+2</f>
        <v>45502</v>
      </c>
      <c r="C34" s="21" t="s">
        <v>15</v>
      </c>
      <c r="D34" s="38"/>
      <c r="E34" s="23" t="str">
        <f>_xll.XGToL(B34,"日")</f>
        <v>廿四</v>
      </c>
      <c r="F34" s="20">
        <f>B34+1</f>
        <v>45503</v>
      </c>
      <c r="G34" s="21" t="str">
        <f>C34</f>
        <v>＊</v>
      </c>
      <c r="H34" s="52"/>
      <c r="I34" s="22" t="str">
        <f>_xll.XGToL(F34,"日")</f>
        <v>廿五</v>
      </c>
      <c r="J34" s="25">
        <f>F34+1</f>
        <v>45504</v>
      </c>
      <c r="K34" s="24"/>
      <c r="L34" s="22" t="str">
        <f>_xll.XGToL(J34,"日")</f>
        <v>廿六</v>
      </c>
      <c r="N34" s="377" t="s">
        <v>31</v>
      </c>
      <c r="O34" s="378"/>
      <c r="P34" s="378"/>
      <c r="Q34" s="379"/>
      <c r="R34" s="321" t="s">
        <v>28</v>
      </c>
      <c r="S34" s="322"/>
      <c r="T34" s="322"/>
      <c r="U34" s="323"/>
      <c r="V34" s="284" t="s">
        <v>26</v>
      </c>
      <c r="W34" s="285"/>
      <c r="X34" s="286"/>
      <c r="Y34" s="54"/>
    </row>
    <row r="35" spans="1:25" s="2" customFormat="1" ht="16.149999999999999" customHeight="1" x14ac:dyDescent="0.25">
      <c r="A35" s="370"/>
      <c r="B35" s="62">
        <v>0.375</v>
      </c>
      <c r="C35" s="304" t="s">
        <v>73</v>
      </c>
      <c r="D35" s="302"/>
      <c r="E35" s="303"/>
      <c r="F35" s="26">
        <v>0.375</v>
      </c>
      <c r="G35" s="335" t="s">
        <v>45</v>
      </c>
      <c r="H35" s="335"/>
      <c r="I35" s="336"/>
      <c r="J35" s="59">
        <v>0.375</v>
      </c>
      <c r="K35" s="276" t="s">
        <v>89</v>
      </c>
      <c r="L35" s="276"/>
      <c r="M35" s="306"/>
      <c r="N35" s="380"/>
      <c r="O35" s="381"/>
      <c r="P35" s="381"/>
      <c r="Q35" s="382"/>
      <c r="R35" s="324"/>
      <c r="S35" s="325"/>
      <c r="T35" s="325"/>
      <c r="U35" s="326"/>
      <c r="V35" s="287"/>
      <c r="W35" s="288"/>
      <c r="X35" s="289"/>
      <c r="Y35" s="54"/>
    </row>
    <row r="36" spans="1:25" s="2" customFormat="1" ht="16.149999999999999" customHeight="1" x14ac:dyDescent="0.25">
      <c r="A36" s="370"/>
      <c r="B36" s="66">
        <v>0.41666666666666669</v>
      </c>
      <c r="C36" s="319" t="s">
        <v>102</v>
      </c>
      <c r="D36" s="359"/>
      <c r="E36" s="360"/>
      <c r="F36" s="28">
        <v>0.39583333333333331</v>
      </c>
      <c r="G36" s="335" t="s">
        <v>48</v>
      </c>
      <c r="H36" s="335"/>
      <c r="I36" s="336"/>
      <c r="J36" s="60">
        <v>0.41666666666666669</v>
      </c>
      <c r="K36" s="397" t="s">
        <v>57</v>
      </c>
      <c r="L36" s="331"/>
      <c r="M36" s="332"/>
      <c r="N36" s="380"/>
      <c r="O36" s="381"/>
      <c r="P36" s="381"/>
      <c r="Q36" s="382"/>
      <c r="R36" s="324"/>
      <c r="S36" s="325"/>
      <c r="T36" s="325"/>
      <c r="U36" s="326"/>
      <c r="V36" s="287"/>
      <c r="W36" s="288"/>
      <c r="X36" s="289"/>
      <c r="Y36" s="54"/>
    </row>
    <row r="37" spans="1:25" s="2" customFormat="1" ht="16.149999999999999" customHeight="1" x14ac:dyDescent="0.25">
      <c r="A37" s="370"/>
      <c r="B37" s="28">
        <v>0.4375</v>
      </c>
      <c r="C37" s="282" t="s">
        <v>13</v>
      </c>
      <c r="D37" s="282"/>
      <c r="E37" s="283"/>
      <c r="F37" s="14">
        <v>0.4375</v>
      </c>
      <c r="G37" s="296" t="s">
        <v>46</v>
      </c>
      <c r="H37" s="296"/>
      <c r="I37" s="387"/>
      <c r="J37" s="28">
        <v>0.4375</v>
      </c>
      <c r="K37" s="282" t="s">
        <v>13</v>
      </c>
      <c r="L37" s="282"/>
      <c r="M37" s="283"/>
      <c r="N37" s="380"/>
      <c r="O37" s="381"/>
      <c r="P37" s="381"/>
      <c r="Q37" s="382"/>
      <c r="R37" s="324"/>
      <c r="S37" s="325"/>
      <c r="T37" s="325"/>
      <c r="U37" s="326"/>
      <c r="V37" s="287"/>
      <c r="W37" s="288"/>
      <c r="X37" s="289"/>
      <c r="Y37" s="54"/>
    </row>
    <row r="38" spans="1:25" s="2" customFormat="1" ht="16.149999999999999" customHeight="1" x14ac:dyDescent="0.25">
      <c r="A38" s="370"/>
      <c r="B38" s="59">
        <v>8.3333333333333329E-2</v>
      </c>
      <c r="C38" s="348" t="s">
        <v>44</v>
      </c>
      <c r="D38" s="348"/>
      <c r="E38" s="349"/>
      <c r="F38" s="14">
        <v>8.3333333333333329E-2</v>
      </c>
      <c r="G38" s="335" t="s">
        <v>47</v>
      </c>
      <c r="H38" s="335"/>
      <c r="I38" s="336"/>
      <c r="J38" s="66">
        <v>8.3333333333333329E-2</v>
      </c>
      <c r="K38" s="319" t="s">
        <v>101</v>
      </c>
      <c r="L38" s="359"/>
      <c r="M38" s="360"/>
      <c r="N38" s="380"/>
      <c r="O38" s="381"/>
      <c r="P38" s="381"/>
      <c r="Q38" s="382"/>
      <c r="R38" s="324"/>
      <c r="S38" s="325"/>
      <c r="T38" s="325"/>
      <c r="U38" s="326"/>
      <c r="V38" s="287"/>
      <c r="W38" s="288"/>
      <c r="X38" s="289"/>
      <c r="Y38" s="54"/>
    </row>
    <row r="39" spans="1:25" s="2" customFormat="1" ht="16.149999999999999" customHeight="1" x14ac:dyDescent="0.25">
      <c r="A39" s="370"/>
      <c r="B39" s="14"/>
      <c r="E39" s="30"/>
      <c r="F39" s="14"/>
      <c r="G39" s="390"/>
      <c r="H39" s="391"/>
      <c r="I39" s="392"/>
      <c r="J39" s="14">
        <v>0.125</v>
      </c>
      <c r="K39" s="393" t="s">
        <v>39</v>
      </c>
      <c r="L39" s="394"/>
      <c r="M39" s="395"/>
      <c r="N39" s="380"/>
      <c r="O39" s="381"/>
      <c r="P39" s="381"/>
      <c r="Q39" s="382"/>
      <c r="R39" s="324"/>
      <c r="S39" s="325"/>
      <c r="T39" s="325"/>
      <c r="U39" s="326"/>
      <c r="V39" s="287"/>
      <c r="W39" s="288"/>
      <c r="X39" s="289"/>
      <c r="Y39" s="54"/>
    </row>
    <row r="40" spans="1:25" s="2" customFormat="1" ht="16.149999999999999" customHeight="1" x14ac:dyDescent="0.25">
      <c r="A40" s="370"/>
      <c r="B40" s="31"/>
      <c r="C40" s="32"/>
      <c r="D40" s="32"/>
      <c r="E40" s="33"/>
      <c r="F40" s="31"/>
      <c r="G40" s="32"/>
      <c r="H40" s="32"/>
      <c r="I40" s="33"/>
      <c r="J40" s="31"/>
      <c r="K40" s="32"/>
      <c r="L40" s="32"/>
      <c r="M40" s="33"/>
      <c r="N40" s="380"/>
      <c r="O40" s="381"/>
      <c r="P40" s="381"/>
      <c r="Q40" s="382"/>
      <c r="R40" s="324"/>
      <c r="S40" s="325"/>
      <c r="T40" s="325"/>
      <c r="U40" s="326"/>
      <c r="V40" s="287"/>
      <c r="W40" s="288"/>
      <c r="X40" s="289"/>
      <c r="Y40" s="54"/>
    </row>
    <row r="41" spans="1:25" s="2" customFormat="1" ht="16.149999999999999" customHeight="1" x14ac:dyDescent="0.25">
      <c r="A41" s="372"/>
      <c r="B41" s="34"/>
      <c r="C41" s="35"/>
      <c r="D41" s="35"/>
      <c r="E41" s="36"/>
      <c r="F41" s="34"/>
      <c r="G41" s="35"/>
      <c r="H41" s="35"/>
      <c r="I41" s="36"/>
      <c r="J41" s="34"/>
      <c r="K41" s="35"/>
      <c r="L41" s="35"/>
      <c r="M41" s="36"/>
      <c r="N41" s="383"/>
      <c r="O41" s="384"/>
      <c r="P41" s="384"/>
      <c r="Q41" s="385"/>
      <c r="R41" s="327"/>
      <c r="S41" s="328"/>
      <c r="T41" s="328"/>
      <c r="U41" s="329"/>
      <c r="V41" s="290"/>
      <c r="W41" s="291"/>
      <c r="X41" s="292"/>
      <c r="Y41" s="54"/>
    </row>
    <row r="42" spans="1:25" s="2" customFormat="1" ht="15" customHeight="1" x14ac:dyDescent="0.25">
      <c r="A42" s="6"/>
      <c r="B42" s="10"/>
      <c r="C42" s="11"/>
      <c r="D42" s="11"/>
      <c r="E42" s="7"/>
      <c r="F42" s="10"/>
      <c r="G42" s="11"/>
      <c r="H42" s="11"/>
      <c r="I42" s="7"/>
      <c r="J42" s="10"/>
      <c r="K42" s="11"/>
      <c r="L42" s="11"/>
      <c r="M42" s="7"/>
      <c r="N42" s="361"/>
      <c r="O42" s="362"/>
      <c r="P42" s="362"/>
      <c r="Q42" s="362"/>
      <c r="R42" s="8"/>
      <c r="S42" s="8"/>
      <c r="T42" s="8"/>
      <c r="U42" s="8"/>
      <c r="V42" s="8"/>
      <c r="W42" s="8"/>
      <c r="X42" s="8"/>
    </row>
    <row r="43" spans="1:25" s="2" customFormat="1" ht="15" customHeight="1" x14ac:dyDescent="0.25">
      <c r="A43" s="350"/>
      <c r="B43" s="350"/>
      <c r="C43" s="351" t="s">
        <v>19</v>
      </c>
      <c r="D43" s="351"/>
      <c r="E43" s="351"/>
      <c r="F43" s="14">
        <v>0.375</v>
      </c>
      <c r="G43" s="352" t="s">
        <v>17</v>
      </c>
      <c r="H43" s="352"/>
      <c r="I43" s="353"/>
      <c r="J43" s="12"/>
      <c r="K43" s="354"/>
      <c r="L43" s="354"/>
      <c r="M43" s="354"/>
      <c r="N43" s="350"/>
      <c r="O43" s="355"/>
      <c r="P43" s="355"/>
      <c r="Q43" s="355"/>
      <c r="R43" s="8"/>
      <c r="S43" s="8"/>
      <c r="T43" s="8"/>
      <c r="U43" s="8"/>
      <c r="V43" s="8"/>
      <c r="W43" s="8"/>
      <c r="X43" s="8"/>
    </row>
    <row r="44" spans="1:25" s="2" customFormat="1" ht="15" customHeight="1" x14ac:dyDescent="0.25">
      <c r="A44" s="6"/>
      <c r="B44" s="12"/>
      <c r="C44" s="355" t="s">
        <v>21</v>
      </c>
      <c r="D44" s="355"/>
      <c r="E44" s="355"/>
      <c r="F44" s="14">
        <v>0</v>
      </c>
      <c r="G44" s="352" t="s">
        <v>18</v>
      </c>
      <c r="H44" s="352"/>
      <c r="I44" s="353"/>
      <c r="J44" s="12">
        <v>8.3333333333333329E-2</v>
      </c>
      <c r="K44" s="355" t="s">
        <v>8</v>
      </c>
      <c r="L44" s="355"/>
      <c r="M44" s="386"/>
      <c r="N44" s="15">
        <v>8.3333333333333329E-2</v>
      </c>
      <c r="O44" s="18" t="s">
        <v>6</v>
      </c>
      <c r="P44" s="18"/>
      <c r="Q44" s="19"/>
      <c r="R44" s="14">
        <v>0.39583333333333331</v>
      </c>
      <c r="S44" s="282" t="s">
        <v>24</v>
      </c>
      <c r="T44" s="282"/>
      <c r="U44" s="283"/>
      <c r="V44" s="8"/>
      <c r="W44" s="8"/>
      <c r="X44" s="8"/>
    </row>
    <row r="45" spans="1:25" s="2" customFormat="1" ht="15" customHeight="1" x14ac:dyDescent="0.25">
      <c r="A45" s="6"/>
      <c r="B45" s="12"/>
      <c r="C45" s="355" t="s">
        <v>20</v>
      </c>
      <c r="D45" s="355"/>
      <c r="E45" s="355"/>
      <c r="F45" s="355"/>
      <c r="G45" s="355"/>
      <c r="H45" s="355"/>
      <c r="I45" s="16"/>
      <c r="J45" s="12">
        <v>0.10416666666666667</v>
      </c>
      <c r="K45" s="351" t="s">
        <v>6</v>
      </c>
      <c r="L45" s="351"/>
      <c r="M45" s="374"/>
      <c r="N45" s="14">
        <v>0.125</v>
      </c>
      <c r="O45" s="282" t="s">
        <v>14</v>
      </c>
      <c r="P45" s="282"/>
      <c r="Q45" s="283"/>
      <c r="R45" s="8"/>
      <c r="S45" s="8"/>
      <c r="T45" s="8"/>
      <c r="U45" s="8"/>
      <c r="V45" s="8"/>
      <c r="W45" s="8"/>
      <c r="X45" s="8"/>
    </row>
    <row r="46" spans="1:25" s="2" customFormat="1" ht="15" customHeight="1" x14ac:dyDescent="0.25">
      <c r="A46" s="6"/>
      <c r="B46" s="12"/>
      <c r="C46" s="398" t="s">
        <v>22</v>
      </c>
      <c r="D46" s="398"/>
      <c r="E46" s="398"/>
      <c r="F46" s="12"/>
      <c r="G46" s="355"/>
      <c r="H46" s="355"/>
      <c r="I46" s="355"/>
      <c r="J46" s="12"/>
      <c r="K46" s="355"/>
      <c r="L46" s="355"/>
      <c r="M46" s="355"/>
      <c r="N46" s="12"/>
      <c r="O46" s="355"/>
      <c r="P46" s="355"/>
      <c r="Q46" s="355"/>
      <c r="R46" s="8"/>
      <c r="S46" s="8"/>
      <c r="T46" s="8"/>
      <c r="U46" s="8"/>
      <c r="V46" s="8"/>
      <c r="W46" s="8"/>
      <c r="X46" s="8"/>
    </row>
    <row r="47" spans="1:25" s="2" customFormat="1" ht="15" customHeight="1" x14ac:dyDescent="0.25">
      <c r="A47" s="6"/>
      <c r="B47" s="12"/>
      <c r="C47" s="355" t="s">
        <v>23</v>
      </c>
      <c r="D47" s="355"/>
      <c r="E47" s="355"/>
      <c r="F47" s="12"/>
      <c r="G47" s="389"/>
      <c r="H47" s="389"/>
      <c r="I47" s="389"/>
      <c r="J47" s="12"/>
      <c r="K47" s="351"/>
      <c r="L47" s="351"/>
      <c r="M47" s="351"/>
      <c r="N47" s="12"/>
      <c r="O47" s="355"/>
      <c r="P47" s="355"/>
      <c r="Q47" s="355"/>
      <c r="R47" s="8"/>
      <c r="S47" s="8"/>
      <c r="T47" s="8"/>
      <c r="U47" s="8"/>
      <c r="V47" s="8"/>
      <c r="W47" s="8"/>
      <c r="X47" s="8"/>
    </row>
    <row r="48" spans="1:25" s="2" customFormat="1" ht="15" customHeight="1" x14ac:dyDescent="0.25">
      <c r="A48" s="6"/>
      <c r="B48" s="12"/>
      <c r="C48" s="396"/>
      <c r="D48" s="396"/>
      <c r="E48" s="396"/>
      <c r="F48" s="12"/>
      <c r="G48" s="355"/>
      <c r="H48" s="355"/>
      <c r="I48" s="355"/>
      <c r="J48" s="12"/>
      <c r="N48" s="12"/>
      <c r="O48" s="351"/>
      <c r="P48" s="351"/>
      <c r="Q48" s="351"/>
      <c r="R48" s="8"/>
      <c r="S48" s="8"/>
      <c r="T48" s="8"/>
      <c r="U48" s="8"/>
      <c r="V48" s="8"/>
      <c r="W48" s="8"/>
      <c r="X48" s="8"/>
    </row>
    <row r="49" spans="1:24" s="2" customFormat="1" ht="15" customHeight="1" x14ac:dyDescent="0.25">
      <c r="A49" s="6"/>
      <c r="B49" s="1"/>
      <c r="C49" s="355"/>
      <c r="D49" s="355"/>
      <c r="E49" s="355"/>
      <c r="F49" s="12"/>
      <c r="G49" s="355"/>
      <c r="H49" s="355"/>
      <c r="I49" s="355"/>
      <c r="J49" s="12"/>
      <c r="N49" s="12"/>
      <c r="O49" s="3"/>
      <c r="P49" s="3"/>
      <c r="Q49" s="3"/>
      <c r="R49" s="8"/>
      <c r="S49" s="8"/>
      <c r="T49" s="8"/>
      <c r="U49" s="8"/>
      <c r="V49" s="8"/>
      <c r="W49" s="8"/>
      <c r="X49" s="8"/>
    </row>
    <row r="50" spans="1:24" s="2" customFormat="1" ht="15" customHeight="1" x14ac:dyDescent="0.25">
      <c r="A50" s="6"/>
      <c r="B50" s="1"/>
      <c r="C50" s="388"/>
      <c r="D50" s="388"/>
      <c r="E50" s="388"/>
      <c r="F50" s="1"/>
      <c r="G50" s="388"/>
      <c r="H50" s="388"/>
      <c r="I50" s="388"/>
      <c r="J50" s="12"/>
      <c r="N50" s="12"/>
      <c r="O50" s="3"/>
      <c r="P50" s="3"/>
      <c r="Q50" s="3"/>
      <c r="R50" s="8"/>
      <c r="S50" s="8"/>
      <c r="T50" s="8"/>
      <c r="U50" s="8"/>
      <c r="V50" s="8"/>
      <c r="W50" s="8"/>
      <c r="X50" s="8"/>
    </row>
    <row r="70" spans="16384:16384" ht="15" customHeight="1" x14ac:dyDescent="0.25">
      <c r="XFD70" t="s">
        <v>27</v>
      </c>
    </row>
  </sheetData>
  <mergeCells count="182">
    <mergeCell ref="C50:E50"/>
    <mergeCell ref="G50:I50"/>
    <mergeCell ref="C47:E47"/>
    <mergeCell ref="G47:I47"/>
    <mergeCell ref="K47:M47"/>
    <mergeCell ref="G39:I39"/>
    <mergeCell ref="K31:M31"/>
    <mergeCell ref="K39:M39"/>
    <mergeCell ref="K35:M35"/>
    <mergeCell ref="C36:E36"/>
    <mergeCell ref="G36:I36"/>
    <mergeCell ref="G31:I31"/>
    <mergeCell ref="C37:E37"/>
    <mergeCell ref="C48:E48"/>
    <mergeCell ref="G48:I48"/>
    <mergeCell ref="K36:M36"/>
    <mergeCell ref="G32:I32"/>
    <mergeCell ref="C46:E46"/>
    <mergeCell ref="G46:I46"/>
    <mergeCell ref="K46:M46"/>
    <mergeCell ref="K32:M32"/>
    <mergeCell ref="O46:Q46"/>
    <mergeCell ref="C44:E44"/>
    <mergeCell ref="G44:I44"/>
    <mergeCell ref="K44:M44"/>
    <mergeCell ref="C49:E49"/>
    <mergeCell ref="G49:I49"/>
    <mergeCell ref="O47:Q47"/>
    <mergeCell ref="O48:Q48"/>
    <mergeCell ref="C29:E29"/>
    <mergeCell ref="G37:I37"/>
    <mergeCell ref="S44:U44"/>
    <mergeCell ref="C45:E45"/>
    <mergeCell ref="F45:H45"/>
    <mergeCell ref="K45:M45"/>
    <mergeCell ref="O45:Q45"/>
    <mergeCell ref="G30:I30"/>
    <mergeCell ref="C27:E27"/>
    <mergeCell ref="G27:I27"/>
    <mergeCell ref="K27:M27"/>
    <mergeCell ref="O30:Q30"/>
    <mergeCell ref="C30:E30"/>
    <mergeCell ref="G28:I28"/>
    <mergeCell ref="G29:I29"/>
    <mergeCell ref="K28:M29"/>
    <mergeCell ref="N34:Q41"/>
    <mergeCell ref="O27:Q27"/>
    <mergeCell ref="S33:U33"/>
    <mergeCell ref="C22:E22"/>
    <mergeCell ref="K21:M21"/>
    <mergeCell ref="K22:M22"/>
    <mergeCell ref="A43:B43"/>
    <mergeCell ref="C43:E43"/>
    <mergeCell ref="G43:I43"/>
    <mergeCell ref="K43:M43"/>
    <mergeCell ref="O43:Q43"/>
    <mergeCell ref="K30:M30"/>
    <mergeCell ref="A1:A30"/>
    <mergeCell ref="K37:M37"/>
    <mergeCell ref="C38:E38"/>
    <mergeCell ref="G38:I38"/>
    <mergeCell ref="K38:M38"/>
    <mergeCell ref="C35:E35"/>
    <mergeCell ref="G35:I35"/>
    <mergeCell ref="N42:N43"/>
    <mergeCell ref="O42:Q42"/>
    <mergeCell ref="B3:E9"/>
    <mergeCell ref="C24:E24"/>
    <mergeCell ref="C14:E14"/>
    <mergeCell ref="A31:A41"/>
    <mergeCell ref="C28:E28"/>
    <mergeCell ref="C23:E23"/>
    <mergeCell ref="C13:E13"/>
    <mergeCell ref="G13:I13"/>
    <mergeCell ref="K13:M13"/>
    <mergeCell ref="O13:Q13"/>
    <mergeCell ref="S13:U13"/>
    <mergeCell ref="K14:M14"/>
    <mergeCell ref="G20:I20"/>
    <mergeCell ref="O20:Q20"/>
    <mergeCell ref="S20:U20"/>
    <mergeCell ref="G15:I15"/>
    <mergeCell ref="C20:E20"/>
    <mergeCell ref="C19:E19"/>
    <mergeCell ref="G19:I19"/>
    <mergeCell ref="K19:M19"/>
    <mergeCell ref="O19:Q19"/>
    <mergeCell ref="S19:U19"/>
    <mergeCell ref="G16:I16"/>
    <mergeCell ref="K15:M15"/>
    <mergeCell ref="S14:U14"/>
    <mergeCell ref="C11:E11"/>
    <mergeCell ref="G11:I11"/>
    <mergeCell ref="K11:M11"/>
    <mergeCell ref="O11:Q11"/>
    <mergeCell ref="S11:U11"/>
    <mergeCell ref="C12:E12"/>
    <mergeCell ref="G12:I12"/>
    <mergeCell ref="K12:M12"/>
    <mergeCell ref="O12:Q12"/>
    <mergeCell ref="V1:X1"/>
    <mergeCell ref="S3:U3"/>
    <mergeCell ref="W3:X3"/>
    <mergeCell ref="B1:E1"/>
    <mergeCell ref="F1:I1"/>
    <mergeCell ref="J1:M1"/>
    <mergeCell ref="N1:Q1"/>
    <mergeCell ref="R1:U1"/>
    <mergeCell ref="S6:U6"/>
    <mergeCell ref="W6:X6"/>
    <mergeCell ref="G3:I3"/>
    <mergeCell ref="G4:I4"/>
    <mergeCell ref="G5:I5"/>
    <mergeCell ref="G6:I6"/>
    <mergeCell ref="O3:Q3"/>
    <mergeCell ref="O4:Q4"/>
    <mergeCell ref="O5:Q5"/>
    <mergeCell ref="O6:Q6"/>
    <mergeCell ref="W19:X19"/>
    <mergeCell ref="S16:U16"/>
    <mergeCell ref="R34:U41"/>
    <mergeCell ref="K20:M20"/>
    <mergeCell ref="S30:U30"/>
    <mergeCell ref="W29:X29"/>
    <mergeCell ref="K25:M25"/>
    <mergeCell ref="O24:Q24"/>
    <mergeCell ref="S23:U23"/>
    <mergeCell ref="S31:U31"/>
    <mergeCell ref="S27:U27"/>
    <mergeCell ref="O31:Q31"/>
    <mergeCell ref="S32:U32"/>
    <mergeCell ref="W21:X21"/>
    <mergeCell ref="K23:M23"/>
    <mergeCell ref="K24:M24"/>
    <mergeCell ref="G22:I22"/>
    <mergeCell ref="O22:Q22"/>
    <mergeCell ref="S22:U22"/>
    <mergeCell ref="C21:E21"/>
    <mergeCell ref="G23:I23"/>
    <mergeCell ref="O16:Q16"/>
    <mergeCell ref="V7:X8"/>
    <mergeCell ref="S4:U4"/>
    <mergeCell ref="W4:X4"/>
    <mergeCell ref="S5:U5"/>
    <mergeCell ref="W5:X5"/>
    <mergeCell ref="W9:X9"/>
    <mergeCell ref="W11:X11"/>
    <mergeCell ref="O7:Q7"/>
    <mergeCell ref="S7:U7"/>
    <mergeCell ref="O8:Q8"/>
    <mergeCell ref="S8:U8"/>
    <mergeCell ref="S9:U9"/>
    <mergeCell ref="W20:X20"/>
    <mergeCell ref="S15:U15"/>
    <mergeCell ref="G21:I21"/>
    <mergeCell ref="O21:Q21"/>
    <mergeCell ref="S21:U21"/>
    <mergeCell ref="K7:M7"/>
    <mergeCell ref="G7:I7"/>
    <mergeCell ref="G14:I14"/>
    <mergeCell ref="O14:Q14"/>
    <mergeCell ref="V34:X41"/>
    <mergeCell ref="K3:M3"/>
    <mergeCell ref="S12:U12"/>
    <mergeCell ref="W12:X12"/>
    <mergeCell ref="V15:X16"/>
    <mergeCell ref="W13:X13"/>
    <mergeCell ref="O15:Q15"/>
    <mergeCell ref="V23:X24"/>
    <mergeCell ref="O23:Q23"/>
    <mergeCell ref="V31:X32"/>
    <mergeCell ref="W27:X27"/>
    <mergeCell ref="O28:Q28"/>
    <mergeCell ref="S28:U28"/>
    <mergeCell ref="W28:X28"/>
    <mergeCell ref="O29:Q29"/>
    <mergeCell ref="S29:U29"/>
    <mergeCell ref="K4:M4"/>
    <mergeCell ref="K5:M5"/>
    <mergeCell ref="K6:M6"/>
    <mergeCell ref="S24:U24"/>
    <mergeCell ref="S25:U25"/>
  </mergeCells>
  <phoneticPr fontId="1" type="noConversion"/>
  <printOptions horizontalCentered="1" verticalCentered="1"/>
  <pageMargins left="0" right="0" top="0" bottom="0" header="0.31496062992125984" footer="0.31496062992125984"/>
  <pageSetup paperSize="9" scale="80" orientation="landscape" r:id="rId1"/>
  <headerFooter alignWithMargins="0"/>
  <colBreaks count="1" manualBreakCount="1">
    <brk id="2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Final (3)</vt:lpstr>
      <vt:lpstr>Final (2)</vt:lpstr>
      <vt:lpstr>'Final (2)'!Print_Area</vt:lpstr>
      <vt:lpstr>'Final (3)'!Print_Area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 ming</dc:creator>
  <cp:lastModifiedBy>Marco Fong</cp:lastModifiedBy>
  <cp:lastPrinted>2025-10-24T03:03:12Z</cp:lastPrinted>
  <dcterms:created xsi:type="dcterms:W3CDTF">2010-09-07T03:16:56Z</dcterms:created>
  <dcterms:modified xsi:type="dcterms:W3CDTF">2025-10-24T03:04:59Z</dcterms:modified>
</cp:coreProperties>
</file>