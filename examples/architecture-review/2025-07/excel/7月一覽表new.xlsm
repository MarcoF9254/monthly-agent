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Thyw-nas\server\月刊\2025年\7月\"/>
    </mc:Choice>
  </mc:AlternateContent>
  <xr:revisionPtr revIDLastSave="0" documentId="13_ncr:1_{56D5E816-C970-4442-A141-753CECC44DFB}" xr6:coauthVersionLast="47" xr6:coauthVersionMax="47" xr10:uidLastSave="{00000000-0000-0000-0000-000000000000}"/>
  <bookViews>
    <workbookView xWindow="1095" yWindow="2565" windowWidth="26640" windowHeight="14520" tabRatio="602" xr2:uid="{00000000-000D-0000-FFFF-FFFF00000000}"/>
  </bookViews>
  <sheets>
    <sheet name="Final (3)" sheetId="6" r:id="rId1"/>
  </sheets>
  <definedNames>
    <definedName name="_xlnm.Print_Area" localSheetId="0">'Final (3)'!$A$1:$AD$45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" i="6" l="1"/>
  <c r="Q2" i="6" s="1"/>
  <c r="V2" i="6" s="1"/>
  <c r="AA2" i="6" s="1"/>
  <c r="X34" i="6"/>
  <c r="AC34" i="6"/>
  <c r="S34" i="6"/>
  <c r="N34" i="6"/>
  <c r="I34" i="6"/>
  <c r="P2" i="6"/>
  <c r="U2" i="6"/>
  <c r="K2" i="6"/>
  <c r="AC26" i="6" l="1"/>
  <c r="X26" i="6"/>
  <c r="S26" i="6"/>
  <c r="N26" i="6"/>
  <c r="I26" i="6"/>
  <c r="AC17" i="6"/>
  <c r="X17" i="6"/>
  <c r="S17" i="6"/>
  <c r="N17" i="6"/>
  <c r="I17" i="6"/>
  <c r="AC10" i="6"/>
  <c r="X10" i="6"/>
  <c r="S10" i="6"/>
  <c r="N10" i="6"/>
  <c r="B10" i="6"/>
  <c r="G10" i="6" s="1"/>
  <c r="L10" i="6" s="1"/>
  <c r="Q10" i="6" s="1"/>
  <c r="V10" i="6" s="1"/>
  <c r="AA10" i="6" s="1"/>
  <c r="B17" i="6" s="1"/>
  <c r="G17" i="6" s="1"/>
  <c r="L17" i="6" s="1"/>
  <c r="Q17" i="6" s="1"/>
  <c r="V17" i="6" s="1"/>
  <c r="AA17" i="6" s="1"/>
  <c r="B26" i="6" s="1"/>
  <c r="G26" i="6" s="1"/>
  <c r="L26" i="6" s="1"/>
  <c r="Q26" i="6" s="1"/>
  <c r="V26" i="6" s="1"/>
  <c r="AA26" i="6" s="1"/>
  <c r="B34" i="6" s="1"/>
  <c r="F26" i="6"/>
  <c r="F10" i="6"/>
  <c r="Z10" i="6"/>
  <c r="AD10" i="6"/>
  <c r="U17" i="6"/>
  <c r="K17" i="6"/>
  <c r="Z2" i="6"/>
  <c r="P26" i="6"/>
  <c r="K34" i="6"/>
  <c r="AD17" i="6"/>
  <c r="Z17" i="6"/>
  <c r="AD26" i="6"/>
  <c r="P17" i="6"/>
  <c r="K26" i="6"/>
  <c r="F17" i="6"/>
  <c r="Z26" i="6"/>
  <c r="U10" i="6"/>
  <c r="P10" i="6"/>
  <c r="F34" i="6"/>
  <c r="AD2" i="6"/>
  <c r="U26" i="6"/>
  <c r="P34" i="6" l="1"/>
  <c r="U34" i="6" l="1"/>
</calcChain>
</file>

<file path=xl/sharedStrings.xml><?xml version="1.0" encoding="utf-8"?>
<sst xmlns="http://schemas.openxmlformats.org/spreadsheetml/2006/main" count="191" uniqueCount="121">
  <si>
    <t>星期二</t>
  </si>
  <si>
    <t>星期三</t>
  </si>
  <si>
    <t>星期四</t>
  </si>
  <si>
    <t>星期五</t>
  </si>
  <si>
    <t>星期六</t>
  </si>
  <si>
    <t>下午休息</t>
    <phoneticPr fontId="1" type="noConversion"/>
  </si>
  <si>
    <t>星期一</t>
    <phoneticPr fontId="1" type="noConversion"/>
  </si>
  <si>
    <t>港九街坊婦女會曾許玉環樂齡鄰舍中心</t>
    <phoneticPr fontId="1" type="noConversion"/>
  </si>
  <si>
    <t>量血壓服務</t>
    <phoneticPr fontId="1" type="noConversion"/>
  </si>
  <si>
    <t>愛心午餐服務</t>
    <phoneticPr fontId="1" type="noConversion"/>
  </si>
  <si>
    <t>職員會</t>
    <phoneticPr fontId="1" type="noConversion"/>
  </si>
  <si>
    <t>saqa</t>
    <phoneticPr fontId="1" type="noConversion"/>
  </si>
  <si>
    <t>7月</t>
    <phoneticPr fontId="1" type="noConversion"/>
  </si>
  <si>
    <t>七月一覽表</t>
    <phoneticPr fontId="1" type="noConversion"/>
  </si>
  <si>
    <t>「會員代表委員會」</t>
    <phoneticPr fontId="1" type="noConversion"/>
  </si>
  <si>
    <t>「義工會」</t>
    <phoneticPr fontId="1" type="noConversion"/>
  </si>
  <si>
    <t>7月魔力橋練習場</t>
    <phoneticPr fontId="1" type="noConversion"/>
  </si>
  <si>
    <t>愛心午餐服務</t>
  </si>
  <si>
    <t>中心例會(第二場)</t>
    <phoneticPr fontId="1" type="noConversion"/>
  </si>
  <si>
    <t>銀鈴健樂團練習</t>
    <phoneticPr fontId="1" type="noConversion"/>
  </si>
  <si>
    <t>數碼諮詢站</t>
    <phoneticPr fontId="1" type="noConversion"/>
  </si>
  <si>
    <t>織福兵團</t>
  </si>
  <si>
    <t xml:space="preserve"> </t>
  </si>
  <si>
    <t>Ë</t>
    <phoneticPr fontId="1" type="noConversion"/>
  </si>
  <si>
    <t>:</t>
    <phoneticPr fontId="1" type="noConversion"/>
  </si>
  <si>
    <t>☆</t>
    <phoneticPr fontId="1" type="noConversion"/>
  </si>
  <si>
    <t>眼明手快</t>
  </si>
  <si>
    <t>☀</t>
    <phoneticPr fontId="1" type="noConversion"/>
  </si>
  <si>
    <t>護老家族</t>
    <phoneticPr fontId="1" type="noConversion"/>
  </si>
  <si>
    <t>◆</t>
    <phoneticPr fontId="1" type="noConversion"/>
  </si>
  <si>
    <t>有需要護老者</t>
    <phoneticPr fontId="1" type="noConversion"/>
  </si>
  <si>
    <t>腦友天地</t>
    <phoneticPr fontId="1" type="noConversion"/>
  </si>
  <si>
    <t>單身貴族</t>
    <phoneticPr fontId="1" type="noConversion"/>
  </si>
  <si>
    <t>健康活力專區</t>
    <phoneticPr fontId="1" type="noConversion"/>
  </si>
  <si>
    <t>科技新知</t>
    <phoneticPr fontId="1" type="noConversion"/>
  </si>
  <si>
    <t>☘</t>
    <phoneticPr fontId="1" type="noConversion"/>
  </si>
  <si>
    <t>金齡天地</t>
    <phoneticPr fontId="1" type="noConversion"/>
  </si>
  <si>
    <t>「活動報名」</t>
    <phoneticPr fontId="1" type="noConversion"/>
  </si>
  <si>
    <t>★早晨包包
逢星期一至五
上午10時正至10時30分</t>
  </si>
  <si>
    <t>地點：中心活動室</t>
    <phoneticPr fontId="1" type="noConversion"/>
  </si>
  <si>
    <t>J</t>
    <phoneticPr fontId="1" type="noConversion"/>
  </si>
  <si>
    <t>中心例會(第一場)</t>
    <phoneticPr fontId="1" type="noConversion"/>
  </si>
  <si>
    <t>護老專門店：佳膳</t>
  </si>
  <si>
    <t>護老專門店：三花</t>
    <phoneticPr fontId="1" type="noConversion"/>
  </si>
  <si>
    <t>「預防認知障礙症活力操」</t>
    <phoneticPr fontId="1" type="noConversion"/>
  </si>
  <si>
    <t>美食茶餐廳</t>
    <phoneticPr fontId="1" type="noConversion"/>
  </si>
  <si>
    <t>耆樂齊歡唱</t>
    <phoneticPr fontId="1" type="noConversion"/>
  </si>
  <si>
    <t>英文軟筆書法初班-5</t>
    <phoneticPr fontId="1" type="noConversion"/>
  </si>
  <si>
    <t>英文軟筆書法初班-6</t>
    <phoneticPr fontId="1" type="noConversion"/>
  </si>
  <si>
    <t>英文軟筆書法初班-7</t>
    <phoneticPr fontId="1" type="noConversion"/>
  </si>
  <si>
    <t>英文軟筆書法初班-8(完)</t>
    <phoneticPr fontId="1" type="noConversion"/>
  </si>
  <si>
    <t>彈力橡筋操班-5</t>
    <phoneticPr fontId="1" type="noConversion"/>
  </si>
  <si>
    <t>彈力橡筋操班-6</t>
    <phoneticPr fontId="1" type="noConversion"/>
  </si>
  <si>
    <t>彈力橡筋操班-7</t>
    <phoneticPr fontId="1" type="noConversion"/>
  </si>
  <si>
    <t>彈力橡筋操班-8(完)</t>
    <phoneticPr fontId="1" type="noConversion"/>
  </si>
  <si>
    <t>啞鈴運動班-3</t>
    <phoneticPr fontId="1" type="noConversion"/>
  </si>
  <si>
    <t>啞鈴運動班-4</t>
    <phoneticPr fontId="1" type="noConversion"/>
  </si>
  <si>
    <t>啞鈴運動班-5(完)</t>
    <phoneticPr fontId="1" type="noConversion"/>
  </si>
  <si>
    <t>長者普通話班-1(新)</t>
    <phoneticPr fontId="1" type="noConversion"/>
  </si>
  <si>
    <t xml:space="preserve">長者英語會話班-1(新) </t>
    <phoneticPr fontId="1" type="noConversion"/>
  </si>
  <si>
    <t>長者普通話班-2</t>
    <phoneticPr fontId="1" type="noConversion"/>
  </si>
  <si>
    <t>長者普通話班-3</t>
    <phoneticPr fontId="1" type="noConversion"/>
  </si>
  <si>
    <t>長者英語會話班-2</t>
    <phoneticPr fontId="1" type="noConversion"/>
  </si>
  <si>
    <t>慎防跌倒小組 (四)</t>
    <phoneticPr fontId="1" type="noConversion"/>
  </si>
  <si>
    <t>全身高效爆汗運動操-2</t>
    <phoneticPr fontId="1" type="noConversion"/>
  </si>
  <si>
    <t>☆</t>
  </si>
  <si>
    <t>悠閒蛋撻茶聚</t>
    <phoneticPr fontId="1" type="noConversion"/>
  </si>
  <si>
    <t>慎防跌倒小組 (三)(衛生署)</t>
    <phoneticPr fontId="1" type="noConversion"/>
  </si>
  <si>
    <t>和諧粉彩-夏日篇</t>
    <phoneticPr fontId="1" type="noConversion"/>
  </si>
  <si>
    <t>乾花擴香石DIY</t>
    <phoneticPr fontId="1" type="noConversion"/>
  </si>
  <si>
    <t>Switch高爾夫球（一）</t>
    <phoneticPr fontId="1" type="noConversion"/>
  </si>
  <si>
    <t>Switch高爾夫球（二）</t>
    <phoneticPr fontId="1" type="noConversion"/>
  </si>
  <si>
    <t>飛鏢體驗樂</t>
    <phoneticPr fontId="1" type="noConversion"/>
  </si>
  <si>
    <t>集體舞 中班-2</t>
    <phoneticPr fontId="1" type="noConversion"/>
  </si>
  <si>
    <t>大集繪</t>
    <phoneticPr fontId="1" type="noConversion"/>
  </si>
  <si>
    <t>公眾假期
(特區成立日)</t>
    <phoneticPr fontId="1" type="noConversion"/>
  </si>
  <si>
    <t>毛巾操 B班-1(新)</t>
    <phoneticPr fontId="1" type="noConversion"/>
  </si>
  <si>
    <t>集體舞 中班-1(新)</t>
    <phoneticPr fontId="1" type="noConversion"/>
  </si>
  <si>
    <t xml:space="preserve">「手機安全你要識」講座 </t>
    <phoneticPr fontId="1" type="noConversion"/>
  </si>
  <si>
    <t>健康活力運動 初班-1(新)</t>
    <phoneticPr fontId="1" type="noConversion"/>
  </si>
  <si>
    <t>毛巾操 A班-1(新)</t>
    <phoneticPr fontId="1" type="noConversion"/>
  </si>
  <si>
    <t>毛巾操 B班-2</t>
    <phoneticPr fontId="1" type="noConversion"/>
  </si>
  <si>
    <t>健康活力運動 中班-1(新)</t>
    <phoneticPr fontId="1" type="noConversion"/>
  </si>
  <si>
    <t>健康活力運動 初班-2</t>
    <phoneticPr fontId="1" type="noConversion"/>
  </si>
  <si>
    <t>毛巾操 A班-2</t>
    <phoneticPr fontId="1" type="noConversion"/>
  </si>
  <si>
    <t>毛巾操 B班-3</t>
    <phoneticPr fontId="1" type="noConversion"/>
  </si>
  <si>
    <t>集體舞 中班-3</t>
    <phoneticPr fontId="1" type="noConversion"/>
  </si>
  <si>
    <t>健康活力運動 中班-2</t>
    <phoneticPr fontId="1" type="noConversion"/>
  </si>
  <si>
    <t>毛巾操 A班-3</t>
    <phoneticPr fontId="1" type="noConversion"/>
  </si>
  <si>
    <t>毛巾操 B班-4</t>
    <phoneticPr fontId="1" type="noConversion"/>
  </si>
  <si>
    <t>集體舞 中班-4</t>
    <phoneticPr fontId="1" type="noConversion"/>
  </si>
  <si>
    <t>健康活力運動 中班-3</t>
    <phoneticPr fontId="1" type="noConversion"/>
  </si>
  <si>
    <t>健康活力運動 初班-3</t>
    <phoneticPr fontId="1" type="noConversion"/>
  </si>
  <si>
    <t>毛巾操 A班-4</t>
    <phoneticPr fontId="1" type="noConversion"/>
  </si>
  <si>
    <t>毛巾操 B班-5</t>
    <phoneticPr fontId="1" type="noConversion"/>
  </si>
  <si>
    <t>健康活力運動 中班-4</t>
    <phoneticPr fontId="1" type="noConversion"/>
  </si>
  <si>
    <r>
      <rPr>
        <b/>
        <sz val="14"/>
        <rFont val="微軟正黑體"/>
        <family val="2"/>
        <charset val="136"/>
      </rPr>
      <t>◆</t>
    </r>
    <phoneticPr fontId="1" type="noConversion"/>
  </si>
  <si>
    <r>
      <rPr>
        <b/>
        <sz val="11"/>
        <rFont val="微軟正黑體"/>
        <family val="2"/>
        <charset val="136"/>
      </rPr>
      <t>☆</t>
    </r>
    <phoneticPr fontId="1" type="noConversion"/>
  </si>
  <si>
    <t>「廣東省院舍照顧服務計劃」簡介會</t>
    <phoneticPr fontId="1" type="noConversion"/>
  </si>
  <si>
    <t>osmo認知耆趣訓練小組-3</t>
    <phoneticPr fontId="1" type="noConversion"/>
  </si>
  <si>
    <t>osmo認知耆趣訓練小組-4</t>
    <phoneticPr fontId="1" type="noConversion"/>
  </si>
  <si>
    <t>osmo認知耆趣訓練小組-1</t>
    <phoneticPr fontId="1" type="noConversion"/>
  </si>
  <si>
    <t>osmo認知耆趣訓練小組-2</t>
    <phoneticPr fontId="1" type="noConversion"/>
  </si>
  <si>
    <t>7月份例會日期及時間：7月22日 上午9時正(第一場)、上午9時30分(第二場)</t>
    <phoneticPr fontId="1" type="noConversion"/>
  </si>
  <si>
    <t>DIY皮夾手袋工作坊-1(新)</t>
    <phoneticPr fontId="1" type="noConversion"/>
  </si>
  <si>
    <t>DIY皮夾手袋工作坊-2</t>
    <phoneticPr fontId="1" type="noConversion"/>
  </si>
  <si>
    <t>DIY皮夾手袋工作坊-3</t>
    <phoneticPr fontId="1" type="noConversion"/>
  </si>
  <si>
    <t>DIY皮夾手袋工作坊-4</t>
    <phoneticPr fontId="1" type="noConversion"/>
  </si>
  <si>
    <t>瑜伽伸展運動班-1(新)</t>
    <phoneticPr fontId="1" type="noConversion"/>
  </si>
  <si>
    <t>瑜伽伸展運動班-2</t>
    <phoneticPr fontId="1" type="noConversion"/>
  </si>
  <si>
    <t>全身高效爆汗運動操-1(新)</t>
    <phoneticPr fontId="1" type="noConversion"/>
  </si>
  <si>
    <t>『認知訓練與認知障礙症的關係』知多D有獎問答</t>
    <phoneticPr fontId="1" type="noConversion"/>
  </si>
  <si>
    <t>「舒緩痛症飲食有辦法」講座</t>
    <phoneticPr fontId="1" type="noConversion"/>
  </si>
  <si>
    <t>爲愛向前衝（伴樂一族篇）</t>
    <phoneticPr fontId="1" type="noConversion"/>
  </si>
  <si>
    <t>DIY皮夾手袋工作坊-5(完)</t>
    <phoneticPr fontId="1" type="noConversion"/>
  </si>
  <si>
    <t>醫療券知多d遊戲</t>
    <phoneticPr fontId="1" type="noConversion"/>
  </si>
  <si>
    <t>瑜伽伸展運動班-3(完)</t>
    <phoneticPr fontId="1" type="noConversion"/>
  </si>
  <si>
    <t>全身高效爆汗運動操-3(完)</t>
    <phoneticPr fontId="1" type="noConversion"/>
  </si>
  <si>
    <t>「智方便」應用程式工作坊</t>
    <phoneticPr fontId="1" type="noConversion"/>
  </si>
  <si>
    <t>「壓力處理：壓力與健康生活模式」講座</t>
    <phoneticPr fontId="1" type="noConversion"/>
  </si>
  <si>
    <t>舒壓工作坊(明愛)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</si>
</sst>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d"/>
    <numFmt numFmtId="177" formatCode="h:mm;@"/>
  </numFmts>
  <fonts count="30"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14"/>
      <color rgb="FFFF0000"/>
      <name val="微軟正黑體"/>
      <family val="2"/>
      <charset val="136"/>
    </font>
    <font>
      <b/>
      <sz val="8"/>
      <name val="Wingdings"/>
      <charset val="2"/>
    </font>
    <font>
      <b/>
      <sz val="14"/>
      <name val="Wingdings"/>
      <charset val="2"/>
    </font>
    <font>
      <b/>
      <sz val="18"/>
      <name val="I.Ngaan"/>
      <family val="3"/>
      <charset val="136"/>
    </font>
    <font>
      <b/>
      <sz val="18"/>
      <name val="標楷體"/>
      <family val="4"/>
      <charset val="136"/>
    </font>
    <font>
      <b/>
      <sz val="12"/>
      <name val="源樣黑體 N"/>
      <family val="2"/>
      <charset val="136"/>
    </font>
    <font>
      <b/>
      <sz val="12"/>
      <color theme="1"/>
      <name val="Wingdings"/>
      <charset val="2"/>
    </font>
    <font>
      <b/>
      <sz val="10"/>
      <name val="Wingdings"/>
      <charset val="2"/>
    </font>
    <font>
      <b/>
      <sz val="12"/>
      <name val="Wingdings"/>
      <charset val="2"/>
    </font>
    <font>
      <b/>
      <sz val="11"/>
      <name val="Wingdings"/>
      <charset val="2"/>
    </font>
    <font>
      <b/>
      <sz val="12"/>
      <name val="新細明體"/>
      <family val="1"/>
      <charset val="136"/>
    </font>
    <font>
      <b/>
      <sz val="18"/>
      <name val="Wingdings"/>
      <charset val="2"/>
    </font>
    <font>
      <b/>
      <sz val="20"/>
      <name val="微軟正黑體"/>
      <family val="2"/>
      <charset val="136"/>
    </font>
    <font>
      <b/>
      <sz val="12"/>
      <name val="微軟正黑體"/>
      <family val="2"/>
      <charset val="136"/>
    </font>
    <font>
      <b/>
      <sz val="16"/>
      <name val="微軟正黑體"/>
      <family val="2"/>
      <charset val="136"/>
    </font>
    <font>
      <b/>
      <sz val="11"/>
      <name val="微軟正黑體"/>
      <family val="2"/>
      <charset val="136"/>
    </font>
    <font>
      <b/>
      <sz val="60"/>
      <name val="微軟正黑體"/>
      <family val="2"/>
      <charset val="136"/>
    </font>
    <font>
      <b/>
      <sz val="24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8"/>
      <name val="微軟正黑體"/>
      <family val="2"/>
      <charset val="136"/>
    </font>
    <font>
      <b/>
      <sz val="1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8"/>
      <name val="微軟正黑體"/>
      <family val="2"/>
      <charset val="136"/>
    </font>
    <font>
      <b/>
      <sz val="24"/>
      <name val="Wingdings"/>
      <charset val="2"/>
    </font>
    <font>
      <b/>
      <sz val="16"/>
      <name val="Wingdings"/>
      <charset val="2"/>
    </font>
    <font>
      <b/>
      <sz val="9"/>
      <name val="Wingdings"/>
      <charset val="2"/>
    </font>
    <font>
      <b/>
      <sz val="9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88">
    <xf numFmtId="0" fontId="0" fillId="0" borderId="0" xfId="0"/>
    <xf numFmtId="0" fontId="6" fillId="0" borderId="0" xfId="0" applyFont="1" applyAlignment="1">
      <alignment horizontal="center" vertical="top" textRotation="255"/>
    </xf>
    <xf numFmtId="0" fontId="6" fillId="0" borderId="0" xfId="0" applyFont="1" applyAlignment="1">
      <alignment vertical="top" textRotation="255"/>
    </xf>
    <xf numFmtId="0" fontId="6" fillId="0" borderId="0" xfId="0" applyFont="1" applyAlignment="1">
      <alignment horizontal="left" vertical="top" textRotation="255"/>
    </xf>
    <xf numFmtId="0" fontId="12" fillId="0" borderId="0" xfId="0" applyFont="1"/>
    <xf numFmtId="0" fontId="12" fillId="0" borderId="0" xfId="0" applyFont="1" applyAlignment="1">
      <alignment horizontal="center"/>
    </xf>
    <xf numFmtId="0" fontId="10" fillId="0" borderId="0" xfId="0" applyFont="1" applyAlignment="1">
      <alignment vertical="top" textRotation="255"/>
    </xf>
    <xf numFmtId="0" fontId="13" fillId="0" borderId="0" xfId="0" applyFont="1" applyAlignment="1">
      <alignment horizontal="center" vertical="top" textRotation="255"/>
    </xf>
    <xf numFmtId="0" fontId="7" fillId="2" borderId="0" xfId="0" applyFont="1" applyFill="1" applyAlignment="1">
      <alignment horizontal="left" vertical="center" shrinkToFit="1"/>
    </xf>
    <xf numFmtId="176" fontId="15" fillId="0" borderId="0" xfId="0" applyNumberFormat="1" applyFont="1" applyAlignment="1">
      <alignment horizontal="center" vertical="center" shrinkToFit="1"/>
    </xf>
    <xf numFmtId="176" fontId="15" fillId="0" borderId="24" xfId="0" applyNumberFormat="1" applyFont="1" applyBorder="1" applyAlignment="1">
      <alignment horizontal="center" vertical="center" shrinkToFit="1"/>
    </xf>
    <xf numFmtId="176" fontId="15" fillId="0" borderId="25" xfId="0" applyNumberFormat="1" applyFont="1" applyBorder="1" applyAlignment="1">
      <alignment horizontal="center" vertical="center" shrinkToFit="1"/>
    </xf>
    <xf numFmtId="0" fontId="15" fillId="0" borderId="25" xfId="0" applyFont="1" applyBorder="1" applyAlignment="1">
      <alignment horizontal="center" vertical="center" shrinkToFit="1"/>
    </xf>
    <xf numFmtId="0" fontId="15" fillId="0" borderId="26" xfId="0" applyFont="1" applyBorder="1" applyAlignment="1">
      <alignment horizontal="center" vertical="center" shrinkToFit="1"/>
    </xf>
    <xf numFmtId="176" fontId="15" fillId="0" borderId="3" xfId="0" applyNumberFormat="1" applyFont="1" applyBorder="1" applyAlignment="1">
      <alignment horizontal="center" vertical="center" shrinkToFit="1"/>
    </xf>
    <xf numFmtId="0" fontId="15" fillId="0" borderId="27" xfId="0" applyFont="1" applyBorder="1" applyAlignment="1">
      <alignment horizontal="center" vertical="center" shrinkToFit="1"/>
    </xf>
    <xf numFmtId="176" fontId="18" fillId="0" borderId="0" xfId="0" applyNumberFormat="1" applyFont="1" applyAlignment="1">
      <alignment horizontal="center" vertical="center" wrapText="1" shrinkToFit="1"/>
    </xf>
    <xf numFmtId="177" fontId="15" fillId="0" borderId="3" xfId="0" applyNumberFormat="1" applyFont="1" applyBorder="1" applyAlignment="1">
      <alignment horizontal="right" vertical="center" shrinkToFit="1"/>
    </xf>
    <xf numFmtId="0" fontId="15" fillId="0" borderId="8" xfId="0" applyFont="1" applyBorder="1" applyAlignment="1">
      <alignment horizontal="left" vertical="center" shrinkToFit="1"/>
    </xf>
    <xf numFmtId="177" fontId="15" fillId="0" borderId="3" xfId="0" applyNumberFormat="1" applyFont="1" applyBorder="1" applyAlignment="1">
      <alignment vertical="center" shrinkToFit="1"/>
    </xf>
    <xf numFmtId="0" fontId="15" fillId="0" borderId="9" xfId="0" applyFont="1" applyBorder="1" applyAlignment="1">
      <alignment horizontal="left" vertical="center" shrinkToFit="1"/>
    </xf>
    <xf numFmtId="177" fontId="21" fillId="0" borderId="3" xfId="0" applyNumberFormat="1" applyFont="1" applyBorder="1" applyAlignment="1">
      <alignment vertical="center" shrinkToFit="1"/>
    </xf>
    <xf numFmtId="20" fontId="24" fillId="0" borderId="3" xfId="0" applyNumberFormat="1" applyFont="1" applyBorder="1" applyAlignment="1">
      <alignment vertical="center" shrinkToFit="1"/>
    </xf>
    <xf numFmtId="20" fontId="24" fillId="0" borderId="3" xfId="0" applyNumberFormat="1" applyFont="1" applyBorder="1" applyAlignment="1">
      <alignment horizontal="center" vertical="center" shrinkToFit="1"/>
    </xf>
    <xf numFmtId="177" fontId="19" fillId="0" borderId="4" xfId="0" applyNumberFormat="1" applyFont="1" applyBorder="1" applyAlignment="1">
      <alignment horizontal="center" vertical="center" shrinkToFit="1"/>
    </xf>
    <xf numFmtId="177" fontId="19" fillId="0" borderId="6" xfId="0" applyNumberFormat="1" applyFont="1" applyBorder="1" applyAlignment="1">
      <alignment horizontal="center" vertical="center" shrinkToFit="1"/>
    </xf>
    <xf numFmtId="177" fontId="19" fillId="0" borderId="7" xfId="0" applyNumberFormat="1" applyFont="1" applyBorder="1" applyAlignment="1">
      <alignment horizontal="center" vertical="center" shrinkToFit="1"/>
    </xf>
    <xf numFmtId="177" fontId="11" fillId="0" borderId="6" xfId="0" applyNumberFormat="1" applyFont="1" applyBorder="1" applyAlignment="1">
      <alignment vertical="center" shrinkToFit="1"/>
    </xf>
    <xf numFmtId="177" fontId="15" fillId="0" borderId="4" xfId="0" applyNumberFormat="1" applyFont="1" applyBorder="1" applyAlignment="1">
      <alignment horizontal="right" vertical="center" shrinkToFit="1"/>
    </xf>
    <xf numFmtId="177" fontId="16" fillId="0" borderId="6" xfId="0" applyNumberFormat="1" applyFont="1" applyBorder="1" applyAlignment="1">
      <alignment horizontal="center" vertical="center" shrinkToFit="1"/>
    </xf>
    <xf numFmtId="0" fontId="15" fillId="0" borderId="6" xfId="0" applyFont="1" applyBorder="1" applyAlignment="1">
      <alignment horizontal="left" vertical="center" shrinkToFit="1"/>
    </xf>
    <xf numFmtId="0" fontId="15" fillId="0" borderId="7" xfId="0" applyFont="1" applyBorder="1" applyAlignment="1">
      <alignment horizontal="left" vertical="center" shrinkToFit="1"/>
    </xf>
    <xf numFmtId="177" fontId="10" fillId="0" borderId="6" xfId="0" applyNumberFormat="1" applyFont="1" applyBorder="1" applyAlignment="1">
      <alignment horizontal="center" vertical="center" shrinkToFit="1"/>
    </xf>
    <xf numFmtId="20" fontId="24" fillId="0" borderId="4" xfId="0" applyNumberFormat="1" applyFont="1" applyBorder="1" applyAlignment="1">
      <alignment horizontal="center" vertical="center" shrinkToFit="1"/>
    </xf>
    <xf numFmtId="20" fontId="24" fillId="0" borderId="6" xfId="0" applyNumberFormat="1" applyFont="1" applyBorder="1" applyAlignment="1">
      <alignment horizontal="center" vertical="center" shrinkToFit="1"/>
    </xf>
    <xf numFmtId="20" fontId="24" fillId="0" borderId="28" xfId="0" applyNumberFormat="1" applyFont="1" applyBorder="1" applyAlignment="1">
      <alignment horizontal="center" vertical="center" shrinkToFit="1"/>
    </xf>
    <xf numFmtId="176" fontId="15" fillId="0" borderId="8" xfId="0" applyNumberFormat="1" applyFont="1" applyBorder="1" applyAlignment="1">
      <alignment horizontal="center" vertical="center" shrinkToFit="1"/>
    </xf>
    <xf numFmtId="0" fontId="15" fillId="0" borderId="8" xfId="0" applyFont="1" applyBorder="1" applyAlignment="1">
      <alignment horizontal="center" vertical="center" shrinkToFit="1"/>
    </xf>
    <xf numFmtId="0" fontId="15" fillId="0" borderId="9" xfId="0" applyFont="1" applyBorder="1" applyAlignment="1">
      <alignment horizontal="center" vertical="center" shrinkToFit="1"/>
    </xf>
    <xf numFmtId="177" fontId="15" fillId="0" borderId="0" xfId="0" applyNumberFormat="1" applyFont="1" applyAlignment="1">
      <alignment horizontal="right" vertical="center" shrinkToFit="1"/>
    </xf>
    <xf numFmtId="177" fontId="14" fillId="0" borderId="3" xfId="0" applyNumberFormat="1" applyFont="1" applyBorder="1" applyAlignment="1">
      <alignment vertical="center" shrinkToFit="1"/>
    </xf>
    <xf numFmtId="177" fontId="14" fillId="0" borderId="9" xfId="0" applyNumberFormat="1" applyFont="1" applyBorder="1" applyAlignment="1">
      <alignment vertical="center" shrinkToFit="1"/>
    </xf>
    <xf numFmtId="177" fontId="15" fillId="0" borderId="0" xfId="0" applyNumberFormat="1" applyFont="1" applyAlignment="1">
      <alignment vertical="center" shrinkToFit="1"/>
    </xf>
    <xf numFmtId="176" fontId="15" fillId="0" borderId="1" xfId="0" applyNumberFormat="1" applyFont="1" applyBorder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5" fillId="0" borderId="1" xfId="0" applyFont="1" applyBorder="1" applyAlignment="1">
      <alignment horizontal="center" vertical="center" shrinkToFit="1"/>
    </xf>
    <xf numFmtId="0" fontId="15" fillId="0" borderId="2" xfId="0" applyFont="1" applyBorder="1" applyAlignment="1">
      <alignment horizontal="center" vertical="center" shrinkToFit="1"/>
    </xf>
    <xf numFmtId="176" fontId="15" fillId="0" borderId="5" xfId="0" applyNumberFormat="1" applyFont="1" applyBorder="1" applyAlignment="1">
      <alignment horizontal="center" vertical="center" shrinkToFit="1"/>
    </xf>
    <xf numFmtId="176" fontId="10" fillId="0" borderId="1" xfId="0" applyNumberFormat="1" applyFont="1" applyBorder="1" applyAlignment="1">
      <alignment horizontal="center" vertical="center" shrinkToFit="1"/>
    </xf>
    <xf numFmtId="0" fontId="15" fillId="0" borderId="17" xfId="0" applyFont="1" applyBorder="1" applyAlignment="1">
      <alignment horizontal="center" vertical="center" shrinkToFit="1"/>
    </xf>
    <xf numFmtId="177" fontId="15" fillId="0" borderId="3" xfId="0" applyNumberFormat="1" applyFont="1" applyBorder="1" applyAlignment="1">
      <alignment horizontal="center" vertical="center" shrinkToFit="1"/>
    </xf>
    <xf numFmtId="177" fontId="19" fillId="0" borderId="3" xfId="0" applyNumberFormat="1" applyFont="1" applyBorder="1" applyAlignment="1">
      <alignment vertical="center" shrinkToFit="1"/>
    </xf>
    <xf numFmtId="177" fontId="19" fillId="0" borderId="8" xfId="0" applyNumberFormat="1" applyFont="1" applyBorder="1" applyAlignment="1">
      <alignment vertical="center" shrinkToFit="1"/>
    </xf>
    <xf numFmtId="177" fontId="21" fillId="0" borderId="3" xfId="0" applyNumberFormat="1" applyFont="1" applyBorder="1" applyAlignment="1">
      <alignment horizontal="right" vertical="center" shrinkToFit="1"/>
    </xf>
    <xf numFmtId="0" fontId="24" fillId="0" borderId="3" xfId="0" applyFont="1" applyBorder="1" applyAlignment="1">
      <alignment vertical="center" shrinkToFit="1"/>
    </xf>
    <xf numFmtId="177" fontId="15" fillId="0" borderId="6" xfId="0" applyNumberFormat="1" applyFont="1" applyBorder="1" applyAlignment="1">
      <alignment vertical="center" shrinkToFit="1"/>
    </xf>
    <xf numFmtId="177" fontId="15" fillId="0" borderId="4" xfId="0" applyNumberFormat="1" applyFont="1" applyBorder="1" applyAlignment="1">
      <alignment vertical="center" shrinkToFit="1"/>
    </xf>
    <xf numFmtId="177" fontId="14" fillId="0" borderId="6" xfId="0" applyNumberFormat="1" applyFont="1" applyBorder="1" applyAlignment="1">
      <alignment vertical="center" shrinkToFit="1"/>
    </xf>
    <xf numFmtId="177" fontId="26" fillId="0" borderId="6" xfId="0" applyNumberFormat="1" applyFont="1" applyBorder="1" applyAlignment="1">
      <alignment horizontal="center" vertical="center" shrinkToFit="1"/>
    </xf>
    <xf numFmtId="177" fontId="15" fillId="0" borderId="6" xfId="0" applyNumberFormat="1" applyFont="1" applyBorder="1" applyAlignment="1">
      <alignment horizontal="center" vertical="center" shrinkToFit="1"/>
    </xf>
    <xf numFmtId="0" fontId="15" fillId="0" borderId="8" xfId="0" applyFont="1" applyBorder="1" applyAlignment="1">
      <alignment vertical="center" wrapText="1" shrinkToFit="1"/>
    </xf>
    <xf numFmtId="176" fontId="18" fillId="0" borderId="3" xfId="0" applyNumberFormat="1" applyFont="1" applyBorder="1" applyAlignment="1">
      <alignment horizontal="center" vertical="center" wrapText="1" shrinkToFit="1"/>
    </xf>
    <xf numFmtId="20" fontId="22" fillId="0" borderId="20" xfId="0" applyNumberFormat="1" applyFont="1" applyBorder="1" applyAlignment="1">
      <alignment horizontal="center" vertical="center" shrinkToFit="1"/>
    </xf>
    <xf numFmtId="0" fontId="15" fillId="0" borderId="20" xfId="0" applyFont="1" applyBorder="1" applyAlignment="1">
      <alignment horizontal="left" vertical="center" shrinkToFit="1"/>
    </xf>
    <xf numFmtId="176" fontId="18" fillId="0" borderId="22" xfId="0" applyNumberFormat="1" applyFont="1" applyBorder="1" applyAlignment="1">
      <alignment horizontal="center" vertical="center" wrapText="1" shrinkToFit="1"/>
    </xf>
    <xf numFmtId="176" fontId="18" fillId="0" borderId="20" xfId="0" applyNumberFormat="1" applyFont="1" applyBorder="1" applyAlignment="1">
      <alignment horizontal="center" vertical="center" wrapText="1" shrinkToFit="1"/>
    </xf>
    <xf numFmtId="176" fontId="18" fillId="0" borderId="21" xfId="0" applyNumberFormat="1" applyFont="1" applyBorder="1" applyAlignment="1">
      <alignment horizontal="center" vertical="center" wrapText="1" shrinkToFit="1"/>
    </xf>
    <xf numFmtId="176" fontId="15" fillId="0" borderId="22" xfId="0" applyNumberFormat="1" applyFont="1" applyBorder="1" applyAlignment="1">
      <alignment horizontal="center" vertical="center" wrapText="1" shrinkToFit="1"/>
    </xf>
    <xf numFmtId="177" fontId="15" fillId="0" borderId="22" xfId="0" applyNumberFormat="1" applyFont="1" applyBorder="1" applyAlignment="1">
      <alignment vertical="center" shrinkToFit="1"/>
    </xf>
    <xf numFmtId="177" fontId="17" fillId="0" borderId="20" xfId="0" applyNumberFormat="1" applyFont="1" applyBorder="1" applyAlignment="1">
      <alignment vertical="center" shrinkToFit="1"/>
    </xf>
    <xf numFmtId="0" fontId="15" fillId="0" borderId="21" xfId="0" applyFont="1" applyBorder="1" applyAlignment="1">
      <alignment horizontal="left" vertical="center" shrinkToFit="1"/>
    </xf>
    <xf numFmtId="20" fontId="24" fillId="0" borderId="22" xfId="0" applyNumberFormat="1" applyFont="1" applyBorder="1" applyAlignment="1">
      <alignment horizontal="center" vertical="center" shrinkToFit="1"/>
    </xf>
    <xf numFmtId="177" fontId="9" fillId="0" borderId="20" xfId="0" applyNumberFormat="1" applyFont="1" applyBorder="1" applyAlignment="1">
      <alignment vertical="center" shrinkToFit="1"/>
    </xf>
    <xf numFmtId="177" fontId="20" fillId="0" borderId="0" xfId="0" applyNumberFormat="1" applyFont="1" applyAlignment="1">
      <alignment horizontal="center" vertical="center" shrinkToFit="1"/>
    </xf>
    <xf numFmtId="0" fontId="15" fillId="0" borderId="0" xfId="0" applyFont="1" applyAlignment="1">
      <alignment horizontal="left" vertical="center" shrinkToFit="1"/>
    </xf>
    <xf numFmtId="177" fontId="21" fillId="0" borderId="0" xfId="0" applyNumberFormat="1" applyFont="1" applyAlignment="1">
      <alignment vertical="center" shrinkToFit="1"/>
    </xf>
    <xf numFmtId="20" fontId="22" fillId="0" borderId="6" xfId="0" applyNumberFormat="1" applyFont="1" applyBorder="1" applyAlignment="1">
      <alignment horizontal="center" vertical="center" shrinkToFit="1"/>
    </xf>
    <xf numFmtId="176" fontId="15" fillId="0" borderId="10" xfId="0" applyNumberFormat="1" applyFont="1" applyBorder="1" applyAlignment="1">
      <alignment horizontal="center" vertical="center" shrinkToFit="1"/>
    </xf>
    <xf numFmtId="0" fontId="17" fillId="0" borderId="25" xfId="0" applyFont="1" applyBorder="1" applyAlignment="1">
      <alignment horizontal="center" vertical="center" shrinkToFit="1"/>
    </xf>
    <xf numFmtId="20" fontId="4" fillId="0" borderId="0" xfId="0" applyNumberFormat="1" applyFont="1" applyAlignment="1">
      <alignment horizontal="center" vertical="center" shrinkToFit="1"/>
    </xf>
    <xf numFmtId="177" fontId="15" fillId="0" borderId="0" xfId="0" applyNumberFormat="1" applyFont="1" applyAlignment="1">
      <alignment horizontal="center" vertical="center" shrinkToFit="1"/>
    </xf>
    <xf numFmtId="177" fontId="8" fillId="0" borderId="0" xfId="0" applyNumberFormat="1" applyFont="1" applyAlignment="1">
      <alignment horizontal="center" vertical="center" shrinkToFit="1"/>
    </xf>
    <xf numFmtId="20" fontId="3" fillId="0" borderId="0" xfId="0" applyNumberFormat="1" applyFont="1" applyAlignment="1">
      <alignment horizontal="center" vertical="center" shrinkToFit="1"/>
    </xf>
    <xf numFmtId="177" fontId="10" fillId="0" borderId="0" xfId="0" applyNumberFormat="1" applyFont="1" applyAlignment="1">
      <alignment horizontal="right" vertical="center" shrinkToFit="1"/>
    </xf>
    <xf numFmtId="177" fontId="23" fillId="0" borderId="0" xfId="0" applyNumberFormat="1" applyFont="1" applyAlignment="1">
      <alignment horizontal="center" vertical="center" shrinkToFit="1"/>
    </xf>
    <xf numFmtId="20" fontId="22" fillId="0" borderId="0" xfId="0" applyNumberFormat="1" applyFont="1" applyAlignment="1">
      <alignment horizontal="center" vertical="center" shrinkToFit="1"/>
    </xf>
    <xf numFmtId="20" fontId="24" fillId="0" borderId="0" xfId="0" applyNumberFormat="1" applyFont="1" applyAlignment="1">
      <alignment vertical="center" shrinkToFit="1"/>
    </xf>
    <xf numFmtId="177" fontId="4" fillId="0" borderId="0" xfId="0" applyNumberFormat="1" applyFont="1" applyAlignment="1">
      <alignment horizontal="center" vertical="center" shrinkToFit="1"/>
    </xf>
    <xf numFmtId="20" fontId="24" fillId="0" borderId="0" xfId="0" applyNumberFormat="1" applyFont="1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wrapText="1" shrinkToFit="1"/>
    </xf>
    <xf numFmtId="176" fontId="15" fillId="0" borderId="18" xfId="0" applyNumberFormat="1" applyFont="1" applyBorder="1" applyAlignment="1">
      <alignment horizontal="center" vertical="center" shrinkToFit="1"/>
    </xf>
    <xf numFmtId="176" fontId="10" fillId="0" borderId="0" xfId="0" applyNumberFormat="1" applyFont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177" fontId="15" fillId="0" borderId="15" xfId="0" applyNumberFormat="1" applyFont="1" applyBorder="1" applyAlignment="1">
      <alignment horizontal="right" vertical="center" shrinkToFit="1"/>
    </xf>
    <xf numFmtId="177" fontId="14" fillId="0" borderId="0" xfId="0" applyNumberFormat="1" applyFont="1" applyAlignment="1">
      <alignment vertical="center" shrinkToFit="1"/>
    </xf>
    <xf numFmtId="177" fontId="15" fillId="0" borderId="15" xfId="0" applyNumberFormat="1" applyFont="1" applyBorder="1" applyAlignment="1">
      <alignment vertical="center" shrinkToFit="1"/>
    </xf>
    <xf numFmtId="0" fontId="25" fillId="0" borderId="0" xfId="0" applyFont="1" applyAlignment="1">
      <alignment horizontal="center" vertical="top" textRotation="255"/>
    </xf>
    <xf numFmtId="177" fontId="15" fillId="0" borderId="16" xfId="0" applyNumberFormat="1" applyFont="1" applyBorder="1" applyAlignment="1">
      <alignment vertical="center" shrinkToFit="1"/>
    </xf>
    <xf numFmtId="177" fontId="11" fillId="0" borderId="0" xfId="0" applyNumberFormat="1" applyFont="1" applyAlignment="1">
      <alignment vertical="center" shrinkToFit="1"/>
    </xf>
    <xf numFmtId="177" fontId="10" fillId="0" borderId="0" xfId="0" applyNumberFormat="1" applyFont="1" applyAlignment="1">
      <alignment horizontal="center" vertical="center" shrinkToFit="1"/>
    </xf>
    <xf numFmtId="177" fontId="19" fillId="0" borderId="0" xfId="0" applyNumberFormat="1" applyFont="1" applyAlignment="1">
      <alignment vertical="center" shrinkToFit="1"/>
    </xf>
    <xf numFmtId="177" fontId="26" fillId="0" borderId="0" xfId="0" applyNumberFormat="1" applyFont="1" applyAlignment="1">
      <alignment vertical="center" shrinkToFit="1"/>
    </xf>
    <xf numFmtId="177" fontId="11" fillId="0" borderId="0" xfId="0" applyNumberFormat="1" applyFont="1" applyAlignment="1">
      <alignment horizontal="center" vertical="center" shrinkToFit="1"/>
    </xf>
    <xf numFmtId="177" fontId="21" fillId="0" borderId="0" xfId="0" applyNumberFormat="1" applyFont="1" applyAlignment="1">
      <alignment horizontal="right" vertical="center" shrinkToFit="1"/>
    </xf>
    <xf numFmtId="0" fontId="24" fillId="0" borderId="0" xfId="0" applyFont="1" applyAlignment="1">
      <alignment vertical="center" shrinkToFit="1"/>
    </xf>
    <xf numFmtId="177" fontId="20" fillId="0" borderId="0" xfId="0" applyNumberFormat="1" applyFont="1" applyAlignment="1">
      <alignment horizontal="center" vertical="center" wrapText="1" shrinkToFit="1"/>
    </xf>
    <xf numFmtId="176" fontId="15" fillId="0" borderId="15" xfId="0" applyNumberFormat="1" applyFont="1" applyBorder="1" applyAlignment="1">
      <alignment horizontal="center" vertical="center" shrinkToFit="1"/>
    </xf>
    <xf numFmtId="0" fontId="17" fillId="0" borderId="0" xfId="0" applyFont="1" applyAlignment="1">
      <alignment horizontal="center" vertical="center" shrinkToFit="1"/>
    </xf>
    <xf numFmtId="177" fontId="16" fillId="0" borderId="0" xfId="0" applyNumberFormat="1" applyFont="1" applyAlignment="1">
      <alignment horizontal="center" vertical="center" shrinkToFit="1"/>
    </xf>
    <xf numFmtId="177" fontId="27" fillId="0" borderId="0" xfId="0" applyNumberFormat="1" applyFont="1" applyAlignment="1">
      <alignment horizontal="center" vertical="center" shrinkToFit="1"/>
    </xf>
    <xf numFmtId="177" fontId="28" fillId="0" borderId="0" xfId="0" applyNumberFormat="1" applyFont="1" applyAlignment="1">
      <alignment horizontal="center" vertical="center" shrinkToFit="1"/>
    </xf>
    <xf numFmtId="0" fontId="15" fillId="0" borderId="0" xfId="0" applyFont="1" applyAlignment="1">
      <alignment vertical="center" wrapText="1" shrinkToFit="1"/>
    </xf>
    <xf numFmtId="176" fontId="20" fillId="0" borderId="0" xfId="0" applyNumberFormat="1" applyFont="1" applyAlignment="1">
      <alignment horizontal="center" vertical="center" wrapText="1" shrinkToFit="1"/>
    </xf>
    <xf numFmtId="177" fontId="15" fillId="0" borderId="19" xfId="0" applyNumberFormat="1" applyFont="1" applyBorder="1" applyAlignment="1">
      <alignment vertical="center" shrinkToFit="1"/>
    </xf>
    <xf numFmtId="0" fontId="15" fillId="0" borderId="0" xfId="0" applyFont="1" applyAlignment="1">
      <alignment horizontal="left" vertical="center" shrinkToFit="1"/>
    </xf>
    <xf numFmtId="0" fontId="15" fillId="0" borderId="8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wrapText="1" shrinkToFit="1"/>
    </xf>
    <xf numFmtId="0" fontId="21" fillId="0" borderId="8" xfId="0" applyFont="1" applyBorder="1" applyAlignment="1">
      <alignment horizontal="left" vertical="center" wrapText="1" shrinkToFit="1"/>
    </xf>
    <xf numFmtId="176" fontId="18" fillId="0" borderId="15" xfId="0" applyNumberFormat="1" applyFont="1" applyBorder="1" applyAlignment="1">
      <alignment horizontal="center" vertical="center" wrapText="1" shrinkToFit="1"/>
    </xf>
    <xf numFmtId="176" fontId="18" fillId="0" borderId="0" xfId="0" applyNumberFormat="1" applyFont="1" applyAlignment="1">
      <alignment horizontal="center" vertical="center" wrapText="1" shrinkToFit="1"/>
    </xf>
    <xf numFmtId="176" fontId="18" fillId="0" borderId="8" xfId="0" applyNumberFormat="1" applyFont="1" applyBorder="1" applyAlignment="1">
      <alignment horizontal="center" vertical="center" wrapText="1" shrinkToFit="1"/>
    </xf>
    <xf numFmtId="177" fontId="19" fillId="0" borderId="3" xfId="0" applyNumberFormat="1" applyFont="1" applyBorder="1" applyAlignment="1">
      <alignment horizontal="center" vertical="center" wrapText="1" shrinkToFit="1"/>
    </xf>
    <xf numFmtId="177" fontId="19" fillId="0" borderId="0" xfId="0" applyNumberFormat="1" applyFont="1" applyAlignment="1">
      <alignment horizontal="center" vertical="center" shrinkToFit="1"/>
    </xf>
    <xf numFmtId="177" fontId="19" fillId="0" borderId="8" xfId="0" applyNumberFormat="1" applyFont="1" applyBorder="1" applyAlignment="1">
      <alignment horizontal="center" vertical="center" shrinkToFit="1"/>
    </xf>
    <xf numFmtId="177" fontId="19" fillId="0" borderId="3" xfId="0" applyNumberFormat="1" applyFont="1" applyBorder="1" applyAlignment="1">
      <alignment horizontal="center" vertical="center" shrinkToFit="1"/>
    </xf>
    <xf numFmtId="177" fontId="19" fillId="0" borderId="4" xfId="0" applyNumberFormat="1" applyFont="1" applyBorder="1" applyAlignment="1">
      <alignment horizontal="center" vertical="center" shrinkToFit="1"/>
    </xf>
    <xf numFmtId="177" fontId="19" fillId="0" borderId="6" xfId="0" applyNumberFormat="1" applyFont="1" applyBorder="1" applyAlignment="1">
      <alignment horizontal="center" vertical="center" shrinkToFit="1"/>
    </xf>
    <xf numFmtId="177" fontId="19" fillId="0" borderId="7" xfId="0" applyNumberFormat="1" applyFont="1" applyBorder="1" applyAlignment="1">
      <alignment horizontal="center" vertical="center" shrinkToFit="1"/>
    </xf>
    <xf numFmtId="0" fontId="15" fillId="0" borderId="0" xfId="0" applyFont="1" applyAlignment="1">
      <alignment horizontal="left" vertical="center" wrapText="1" shrinkToFit="1"/>
    </xf>
    <xf numFmtId="0" fontId="15" fillId="0" borderId="8" xfId="0" applyFont="1" applyBorder="1" applyAlignment="1">
      <alignment horizontal="left" vertical="center" wrapText="1" shrinkToFit="1"/>
    </xf>
    <xf numFmtId="20" fontId="20" fillId="0" borderId="6" xfId="0" applyNumberFormat="1" applyFont="1" applyBorder="1" applyAlignment="1">
      <alignment vertical="center" shrinkToFit="1"/>
    </xf>
    <xf numFmtId="20" fontId="20" fillId="0" borderId="0" xfId="0" applyNumberFormat="1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15" fillId="0" borderId="9" xfId="0" applyFont="1" applyBorder="1" applyAlignment="1">
      <alignment horizontal="left" vertical="center" shrinkToFit="1"/>
    </xf>
    <xf numFmtId="177" fontId="15" fillId="0" borderId="0" xfId="0" applyNumberFormat="1" applyFont="1" applyAlignment="1">
      <alignment horizontal="left" vertical="center" wrapText="1" shrinkToFit="1"/>
    </xf>
    <xf numFmtId="177" fontId="15" fillId="0" borderId="8" xfId="0" applyNumberFormat="1" applyFont="1" applyBorder="1" applyAlignment="1">
      <alignment horizontal="left" vertical="center" wrapText="1" shrinkToFit="1"/>
    </xf>
    <xf numFmtId="0" fontId="23" fillId="0" borderId="0" xfId="0" applyFont="1" applyAlignment="1">
      <alignment horizontal="left" vertical="center" wrapText="1" shrinkToFit="1"/>
    </xf>
    <xf numFmtId="0" fontId="23" fillId="0" borderId="8" xfId="0" applyFont="1" applyBorder="1" applyAlignment="1">
      <alignment horizontal="left" vertical="center" wrapText="1" shrinkToFit="1"/>
    </xf>
    <xf numFmtId="20" fontId="24" fillId="0" borderId="0" xfId="0" applyNumberFormat="1" applyFont="1" applyAlignment="1">
      <alignment horizontal="center" vertical="center" shrinkToFit="1"/>
    </xf>
    <xf numFmtId="20" fontId="24" fillId="0" borderId="9" xfId="0" applyNumberFormat="1" applyFont="1" applyBorder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8" xfId="0" applyFont="1" applyBorder="1" applyAlignment="1">
      <alignment horizontal="left" vertical="center" shrinkToFit="1"/>
    </xf>
    <xf numFmtId="0" fontId="15" fillId="0" borderId="0" xfId="0" applyFont="1" applyAlignment="1">
      <alignment horizontal="left" vertical="center"/>
    </xf>
    <xf numFmtId="0" fontId="15" fillId="0" borderId="8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 shrinkToFit="1"/>
    </xf>
    <xf numFmtId="0" fontId="5" fillId="0" borderId="29" xfId="0" applyFont="1" applyBorder="1" applyAlignment="1">
      <alignment horizontal="center" vertical="center" textRotation="255"/>
    </xf>
    <xf numFmtId="0" fontId="5" fillId="0" borderId="15" xfId="0" applyFont="1" applyBorder="1" applyAlignment="1">
      <alignment horizontal="center" vertical="center" textRotation="255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5" fillId="0" borderId="6" xfId="0" applyFont="1" applyBorder="1" applyAlignment="1">
      <alignment horizontal="left" vertical="center" shrinkToFit="1"/>
    </xf>
    <xf numFmtId="0" fontId="15" fillId="0" borderId="7" xfId="0" applyFont="1" applyBorder="1" applyAlignment="1">
      <alignment horizontal="left" vertical="center" shrinkToFit="1"/>
    </xf>
    <xf numFmtId="177" fontId="17" fillId="0" borderId="0" xfId="0" applyNumberFormat="1" applyFont="1" applyAlignment="1">
      <alignment horizontal="left" vertical="center" shrinkToFit="1"/>
    </xf>
    <xf numFmtId="177" fontId="17" fillId="0" borderId="8" xfId="0" applyNumberFormat="1" applyFont="1" applyBorder="1" applyAlignment="1">
      <alignment horizontal="left" vertical="center" shrinkToFit="1"/>
    </xf>
    <xf numFmtId="0" fontId="16" fillId="0" borderId="14" xfId="0" applyFont="1" applyBorder="1" applyAlignment="1">
      <alignment horizontal="center" vertical="center"/>
    </xf>
    <xf numFmtId="20" fontId="24" fillId="0" borderId="3" xfId="0" applyNumberFormat="1" applyFont="1" applyBorder="1" applyAlignment="1">
      <alignment horizontal="center" vertical="center" shrinkToFit="1"/>
    </xf>
    <xf numFmtId="20" fontId="24" fillId="0" borderId="4" xfId="0" applyNumberFormat="1" applyFont="1" applyBorder="1" applyAlignment="1">
      <alignment horizontal="center" vertical="center" shrinkToFit="1"/>
    </xf>
    <xf numFmtId="20" fontId="24" fillId="0" borderId="6" xfId="0" applyNumberFormat="1" applyFont="1" applyBorder="1" applyAlignment="1">
      <alignment horizontal="center" vertical="center" shrinkToFit="1"/>
    </xf>
    <xf numFmtId="20" fontId="24" fillId="0" borderId="28" xfId="0" applyNumberFormat="1" applyFont="1" applyBorder="1" applyAlignment="1">
      <alignment horizontal="center" vertical="center" shrinkToFit="1"/>
    </xf>
    <xf numFmtId="0" fontId="15" fillId="0" borderId="9" xfId="0" applyFont="1" applyBorder="1" applyAlignment="1">
      <alignment horizontal="left" vertical="center" wrapText="1" shrinkToFit="1"/>
    </xf>
    <xf numFmtId="20" fontId="20" fillId="0" borderId="20" xfId="0" applyNumberFormat="1" applyFont="1" applyBorder="1" applyAlignment="1">
      <alignment vertical="center" shrinkToFit="1"/>
    </xf>
    <xf numFmtId="20" fontId="20" fillId="0" borderId="9" xfId="0" applyNumberFormat="1" applyFont="1" applyBorder="1" applyAlignment="1">
      <alignment vertical="center" shrinkToFit="1"/>
    </xf>
    <xf numFmtId="177" fontId="20" fillId="0" borderId="3" xfId="0" applyNumberFormat="1" applyFont="1" applyBorder="1" applyAlignment="1">
      <alignment horizontal="center" vertical="center" wrapText="1" shrinkToFit="1"/>
    </xf>
    <xf numFmtId="177" fontId="20" fillId="0" borderId="0" xfId="0" applyNumberFormat="1" applyFont="1" applyAlignment="1">
      <alignment horizontal="center" vertical="center" wrapText="1" shrinkToFit="1"/>
    </xf>
    <xf numFmtId="177" fontId="20" fillId="0" borderId="8" xfId="0" applyNumberFormat="1" applyFont="1" applyBorder="1" applyAlignment="1">
      <alignment horizontal="center" vertical="center" wrapText="1" shrinkToFit="1"/>
    </xf>
    <xf numFmtId="177" fontId="20" fillId="0" borderId="22" xfId="0" applyNumberFormat="1" applyFont="1" applyBorder="1" applyAlignment="1">
      <alignment horizontal="center" vertical="center" wrapText="1" shrinkToFit="1"/>
    </xf>
    <xf numFmtId="177" fontId="20" fillId="0" borderId="20" xfId="0" applyNumberFormat="1" applyFont="1" applyBorder="1" applyAlignment="1">
      <alignment horizontal="center" vertical="center" wrapText="1" shrinkToFit="1"/>
    </xf>
    <xf numFmtId="177" fontId="20" fillId="0" borderId="21" xfId="0" applyNumberFormat="1" applyFont="1" applyBorder="1" applyAlignment="1">
      <alignment horizontal="center" vertical="center" wrapText="1" shrinkToFit="1"/>
    </xf>
    <xf numFmtId="20" fontId="20" fillId="0" borderId="23" xfId="0" applyNumberFormat="1" applyFont="1" applyBorder="1" applyAlignment="1">
      <alignment vertical="center" shrinkToFit="1"/>
    </xf>
    <xf numFmtId="177" fontId="15" fillId="0" borderId="0" xfId="0" applyNumberFormat="1" applyFont="1" applyAlignment="1">
      <alignment horizontal="left" vertical="center" shrinkToFit="1"/>
    </xf>
    <xf numFmtId="177" fontId="15" fillId="0" borderId="8" xfId="0" applyNumberFormat="1" applyFont="1" applyBorder="1" applyAlignment="1">
      <alignment horizontal="left" vertical="center" shrinkToFit="1"/>
    </xf>
    <xf numFmtId="0" fontId="24" fillId="0" borderId="15" xfId="0" applyFont="1" applyBorder="1" applyAlignment="1">
      <alignment horizontal="center" vertical="top"/>
    </xf>
    <xf numFmtId="0" fontId="24" fillId="0" borderId="0" xfId="0" applyFont="1" applyAlignment="1">
      <alignment horizontal="center" vertical="top"/>
    </xf>
    <xf numFmtId="0" fontId="24" fillId="0" borderId="9" xfId="0" applyFont="1" applyBorder="1" applyAlignment="1">
      <alignment horizontal="center" vertical="top"/>
    </xf>
    <xf numFmtId="0" fontId="24" fillId="0" borderId="19" xfId="0" applyFont="1" applyBorder="1" applyAlignment="1">
      <alignment horizontal="center" vertical="top"/>
    </xf>
    <xf numFmtId="0" fontId="24" fillId="0" borderId="20" xfId="0" applyFont="1" applyBorder="1" applyAlignment="1">
      <alignment horizontal="center" vertical="top"/>
    </xf>
    <xf numFmtId="0" fontId="24" fillId="0" borderId="23" xfId="0" applyFont="1" applyBorder="1" applyAlignment="1">
      <alignment horizontal="center" vertical="top"/>
    </xf>
    <xf numFmtId="0" fontId="5" fillId="0" borderId="15" xfId="0" applyFont="1" applyBorder="1" applyAlignment="1">
      <alignment horizontal="center" vertical="top" textRotation="255"/>
    </xf>
    <xf numFmtId="0" fontId="5" fillId="0" borderId="19" xfId="0" applyFont="1" applyBorder="1" applyAlignment="1">
      <alignment horizontal="center" vertical="top" textRotation="255"/>
    </xf>
    <xf numFmtId="0" fontId="14" fillId="0" borderId="15" xfId="0" applyFont="1" applyBorder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4" fillId="0" borderId="9" xfId="0" applyFont="1" applyBorder="1" applyAlignment="1">
      <alignment horizontal="center" vertical="top"/>
    </xf>
    <xf numFmtId="0" fontId="15" fillId="0" borderId="0" xfId="0" applyFont="1" applyAlignment="1">
      <alignment horizontal="center" vertical="center" shrinkToFit="1"/>
    </xf>
    <xf numFmtId="0" fontId="15" fillId="0" borderId="8" xfId="0" applyFont="1" applyBorder="1" applyAlignment="1">
      <alignment horizontal="center" vertical="center" shrinkToFit="1"/>
    </xf>
    <xf numFmtId="0" fontId="29" fillId="0" borderId="0" xfId="0" applyFont="1" applyAlignment="1">
      <alignment horizontal="left" vertical="center" wrapText="1" shrinkToFit="1"/>
    </xf>
    <xf numFmtId="0" fontId="29" fillId="0" borderId="8" xfId="0" applyFont="1" applyBorder="1" applyAlignment="1">
      <alignment horizontal="left" vertical="center" wrapText="1" shrinkToFit="1"/>
    </xf>
    <xf numFmtId="0" fontId="17" fillId="0" borderId="0" xfId="0" applyFont="1" applyAlignment="1">
      <alignment horizontal="left" vertical="center" wrapText="1" shrinkToFit="1"/>
    </xf>
    <xf numFmtId="0" fontId="17" fillId="0" borderId="8" xfId="0" applyFont="1" applyBorder="1" applyAlignment="1">
      <alignment horizontal="left" vertical="center" wrapText="1" shrinkToFit="1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98F2FE"/>
      <color rgb="FFFFCCFF"/>
      <color rgb="FF9AFC9F"/>
      <color rgb="FFFFCC00"/>
      <color rgb="FFC789FB"/>
      <color rgb="FFFFFF66"/>
      <color rgb="FFFFFFCC"/>
      <color rgb="FFCCFF33"/>
      <color rgb="FFF5F9DD"/>
      <color rgb="FFF982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6475C-7592-45D0-B491-7527F29B9008}">
  <sheetPr>
    <pageSetUpPr fitToPage="1"/>
  </sheetPr>
  <dimension ref="A1:XCW63"/>
  <sheetViews>
    <sheetView tabSelected="1" view="pageBreakPreview" topLeftCell="A3" zoomScaleNormal="100" zoomScaleSheetLayoutView="100" workbookViewId="0">
      <selection activeCell="I19" sqref="I19:K19"/>
    </sheetView>
  </sheetViews>
  <sheetFormatPr defaultColWidth="3.375" defaultRowHeight="15" customHeight="1"/>
  <cols>
    <col min="1" max="1" width="5.125" style="5" customWidth="1"/>
    <col min="2" max="2" width="5.625" style="1" customWidth="1"/>
    <col min="3" max="3" width="3.125" style="6" customWidth="1"/>
    <col min="4" max="5" width="8.125" style="1" customWidth="1"/>
    <col min="6" max="6" width="7.5" style="1" customWidth="1"/>
    <col min="7" max="7" width="5.625" style="2" customWidth="1"/>
    <col min="8" max="8" width="3.125" style="1" customWidth="1"/>
    <col min="9" max="10" width="8.125" style="1" customWidth="1"/>
    <col min="11" max="11" width="7.5" style="1" customWidth="1"/>
    <col min="12" max="12" width="5.625" style="1" customWidth="1"/>
    <col min="13" max="13" width="3.375" style="7" customWidth="1"/>
    <col min="14" max="15" width="8.125" style="1" customWidth="1"/>
    <col min="16" max="16" width="7.5" style="1" customWidth="1"/>
    <col min="17" max="17" width="5.625" style="1" customWidth="1"/>
    <col min="18" max="18" width="3.125" style="1" customWidth="1"/>
    <col min="19" max="20" width="8.125" style="1" customWidth="1"/>
    <col min="21" max="21" width="7.5" style="1" customWidth="1"/>
    <col min="22" max="22" width="5.625" style="1" customWidth="1"/>
    <col min="23" max="23" width="3.125" style="1" customWidth="1"/>
    <col min="24" max="25" width="8.125" style="1" customWidth="1"/>
    <col min="26" max="26" width="7.5" style="1" customWidth="1"/>
    <col min="27" max="27" width="5.625" style="1" customWidth="1"/>
    <col min="28" max="28" width="3.125" style="1" customWidth="1"/>
    <col min="29" max="29" width="8.125" style="1" customWidth="1"/>
    <col min="30" max="30" width="9.125" style="1" customWidth="1"/>
    <col min="31" max="34" width="5.625" style="1" customWidth="1"/>
    <col min="35" max="16384" width="3.375" style="4"/>
  </cols>
  <sheetData>
    <row r="1" spans="1:30" s="1" customFormat="1" ht="21" customHeight="1" thickBot="1">
      <c r="A1" s="145" t="s">
        <v>7</v>
      </c>
      <c r="B1" s="147" t="s">
        <v>6</v>
      </c>
      <c r="C1" s="147"/>
      <c r="D1" s="147"/>
      <c r="E1" s="147"/>
      <c r="F1" s="148"/>
      <c r="G1" s="149" t="s">
        <v>0</v>
      </c>
      <c r="H1" s="147"/>
      <c r="I1" s="147"/>
      <c r="J1" s="147"/>
      <c r="K1" s="148"/>
      <c r="L1" s="149" t="s">
        <v>1</v>
      </c>
      <c r="M1" s="147"/>
      <c r="N1" s="147"/>
      <c r="O1" s="147"/>
      <c r="P1" s="148"/>
      <c r="Q1" s="149" t="s">
        <v>2</v>
      </c>
      <c r="R1" s="147"/>
      <c r="S1" s="147"/>
      <c r="T1" s="147"/>
      <c r="U1" s="148"/>
      <c r="V1" s="149" t="s">
        <v>3</v>
      </c>
      <c r="W1" s="147"/>
      <c r="X1" s="147"/>
      <c r="Y1" s="147"/>
      <c r="Z1" s="148"/>
      <c r="AA1" s="149" t="s">
        <v>4</v>
      </c>
      <c r="AB1" s="147"/>
      <c r="AC1" s="147"/>
      <c r="AD1" s="154"/>
    </row>
    <row r="2" spans="1:30" s="1" customFormat="1" ht="16.149999999999999" customHeight="1">
      <c r="A2" s="146"/>
      <c r="B2" s="77"/>
      <c r="C2" s="11"/>
      <c r="D2" s="78" t="s">
        <v>22</v>
      </c>
      <c r="E2" s="12"/>
      <c r="F2" s="12"/>
      <c r="G2" s="10">
        <v>45839</v>
      </c>
      <c r="H2" s="11"/>
      <c r="I2" s="12"/>
      <c r="J2" s="12"/>
      <c r="K2" s="13" t="str">
        <f>_xll.XGToL(G2,"日")</f>
        <v>初七</v>
      </c>
      <c r="L2" s="11">
        <f>G2+1</f>
        <v>45840</v>
      </c>
      <c r="M2" s="11"/>
      <c r="N2" s="12"/>
      <c r="O2" s="12"/>
      <c r="P2" s="13" t="str">
        <f>_xll.XGToL(L2,"日")</f>
        <v>初八</v>
      </c>
      <c r="Q2" s="10">
        <f>L2+1</f>
        <v>45841</v>
      </c>
      <c r="R2" s="11"/>
      <c r="S2" s="12"/>
      <c r="T2" s="12"/>
      <c r="U2" s="13" t="str">
        <f>_xll.XGToL(Q2,"日")</f>
        <v>初九</v>
      </c>
      <c r="V2" s="10">
        <f>Q2+1</f>
        <v>45842</v>
      </c>
      <c r="W2" s="11"/>
      <c r="X2" s="12"/>
      <c r="Y2" s="12"/>
      <c r="Z2" s="13" t="str">
        <f>_xll.XGToL(V2,"日")</f>
        <v>初十</v>
      </c>
      <c r="AA2" s="10">
        <f>V2+1</f>
        <v>45843</v>
      </c>
      <c r="AB2" s="11"/>
      <c r="AC2" s="12"/>
      <c r="AD2" s="15" t="str">
        <f>_xll.XGToL(AA2,"日")</f>
        <v>十一</v>
      </c>
    </row>
    <row r="3" spans="1:30" s="1" customFormat="1" ht="16.149999999999999" customHeight="1">
      <c r="A3" s="146"/>
      <c r="B3" s="118" t="s">
        <v>12</v>
      </c>
      <c r="C3" s="119"/>
      <c r="D3" s="119"/>
      <c r="E3" s="119"/>
      <c r="F3" s="120"/>
      <c r="G3" s="121" t="s">
        <v>75</v>
      </c>
      <c r="H3" s="122"/>
      <c r="I3" s="122"/>
      <c r="J3" s="122"/>
      <c r="K3" s="123"/>
      <c r="L3" s="17">
        <v>0.375</v>
      </c>
      <c r="M3" s="79" t="s">
        <v>23</v>
      </c>
      <c r="N3" s="114" t="s">
        <v>55</v>
      </c>
      <c r="O3" s="114"/>
      <c r="P3" s="115"/>
      <c r="Q3" s="19">
        <v>0.375</v>
      </c>
      <c r="R3" s="80"/>
      <c r="S3" s="114" t="s">
        <v>76</v>
      </c>
      <c r="T3" s="114"/>
      <c r="U3" s="115"/>
      <c r="V3" s="17">
        <v>0.375</v>
      </c>
      <c r="W3" s="79" t="s">
        <v>23</v>
      </c>
      <c r="X3" s="114" t="s">
        <v>51</v>
      </c>
      <c r="Y3" s="114"/>
      <c r="Z3" s="115"/>
      <c r="AA3" s="80">
        <v>0.375</v>
      </c>
      <c r="AB3" s="80"/>
      <c r="AC3" s="114" t="s">
        <v>8</v>
      </c>
      <c r="AD3" s="133"/>
    </row>
    <row r="4" spans="1:30" s="1" customFormat="1" ht="16.149999999999999" customHeight="1">
      <c r="A4" s="146"/>
      <c r="B4" s="118"/>
      <c r="C4" s="119"/>
      <c r="D4" s="119"/>
      <c r="E4" s="119"/>
      <c r="F4" s="120"/>
      <c r="G4" s="124"/>
      <c r="H4" s="122"/>
      <c r="I4" s="122"/>
      <c r="J4" s="122"/>
      <c r="K4" s="123"/>
      <c r="L4" s="21">
        <v>0.375</v>
      </c>
      <c r="M4" s="81" t="s">
        <v>40</v>
      </c>
      <c r="N4" s="116" t="s">
        <v>115</v>
      </c>
      <c r="O4" s="116"/>
      <c r="P4" s="117"/>
      <c r="Q4" s="19">
        <v>0.41666666666666669</v>
      </c>
      <c r="R4" s="39"/>
      <c r="S4" s="128" t="s">
        <v>21</v>
      </c>
      <c r="T4" s="128"/>
      <c r="U4" s="129"/>
      <c r="V4" s="17">
        <v>0.41666666666666669</v>
      </c>
      <c r="W4" s="82"/>
      <c r="X4" s="114" t="s">
        <v>77</v>
      </c>
      <c r="Y4" s="114"/>
      <c r="Z4" s="115"/>
      <c r="AA4" s="80">
        <v>0.39583333333333331</v>
      </c>
      <c r="AB4" s="80"/>
      <c r="AC4" s="114" t="s">
        <v>16</v>
      </c>
      <c r="AD4" s="133"/>
    </row>
    <row r="5" spans="1:30" s="1" customFormat="1" ht="16.149999999999999" customHeight="1">
      <c r="A5" s="146"/>
      <c r="B5" s="118"/>
      <c r="C5" s="119"/>
      <c r="D5" s="119"/>
      <c r="E5" s="119"/>
      <c r="F5" s="120"/>
      <c r="G5" s="124"/>
      <c r="H5" s="122"/>
      <c r="I5" s="122"/>
      <c r="J5" s="122"/>
      <c r="K5" s="123"/>
      <c r="L5" s="17">
        <v>0.4375</v>
      </c>
      <c r="M5" s="83"/>
      <c r="N5" s="114" t="s">
        <v>9</v>
      </c>
      <c r="O5" s="114"/>
      <c r="P5" s="115"/>
      <c r="Q5" s="19">
        <v>0.41666666666666669</v>
      </c>
      <c r="R5" s="39"/>
      <c r="S5" s="114" t="s">
        <v>26</v>
      </c>
      <c r="T5" s="114"/>
      <c r="U5" s="115"/>
      <c r="V5" s="17">
        <v>0.4375</v>
      </c>
      <c r="W5" s="82"/>
      <c r="X5" s="114" t="s">
        <v>17</v>
      </c>
      <c r="Y5" s="114"/>
      <c r="Z5" s="115"/>
      <c r="AA5" s="80"/>
      <c r="AB5" s="84"/>
      <c r="AC5" s="128"/>
      <c r="AD5" s="159"/>
    </row>
    <row r="6" spans="1:30" s="1" customFormat="1" ht="16.149999999999999" customHeight="1">
      <c r="A6" s="146"/>
      <c r="B6" s="118"/>
      <c r="C6" s="119"/>
      <c r="D6" s="119"/>
      <c r="E6" s="119"/>
      <c r="F6" s="120"/>
      <c r="G6" s="124"/>
      <c r="H6" s="122"/>
      <c r="I6" s="122"/>
      <c r="J6" s="122"/>
      <c r="K6" s="123"/>
      <c r="L6" s="19">
        <v>8.3333333333333329E-2</v>
      </c>
      <c r="M6" s="83"/>
      <c r="N6" s="114" t="s">
        <v>78</v>
      </c>
      <c r="O6" s="114"/>
      <c r="P6" s="114"/>
      <c r="Q6" s="19">
        <v>0.4375</v>
      </c>
      <c r="R6" s="85"/>
      <c r="S6" s="114" t="s">
        <v>17</v>
      </c>
      <c r="T6" s="114"/>
      <c r="U6" s="115"/>
      <c r="V6" s="17">
        <v>8.3333333333333329E-2</v>
      </c>
      <c r="W6" s="82"/>
      <c r="X6" s="114" t="s">
        <v>47</v>
      </c>
      <c r="Y6" s="114"/>
      <c r="Z6" s="115"/>
      <c r="AA6" s="22"/>
      <c r="AB6" s="86"/>
      <c r="AC6" s="128"/>
      <c r="AD6" s="159"/>
    </row>
    <row r="7" spans="1:30" s="1" customFormat="1" ht="16.149999999999999" customHeight="1">
      <c r="A7" s="146"/>
      <c r="B7" s="118"/>
      <c r="C7" s="119"/>
      <c r="D7" s="119"/>
      <c r="E7" s="119"/>
      <c r="F7" s="120"/>
      <c r="G7" s="124"/>
      <c r="H7" s="122"/>
      <c r="I7" s="122"/>
      <c r="J7" s="122"/>
      <c r="K7" s="123"/>
      <c r="L7" s="19">
        <v>0.125</v>
      </c>
      <c r="M7" s="87"/>
      <c r="N7" s="114" t="s">
        <v>79</v>
      </c>
      <c r="O7" s="114"/>
      <c r="P7" s="115"/>
      <c r="Q7" s="19">
        <v>8.3333333333333329E-2</v>
      </c>
      <c r="R7" s="85"/>
      <c r="S7" s="114" t="s">
        <v>72</v>
      </c>
      <c r="T7" s="114"/>
      <c r="U7" s="115"/>
      <c r="V7" s="17">
        <v>8.3333333333333329E-2</v>
      </c>
      <c r="W7" s="82"/>
      <c r="X7" s="114" t="s">
        <v>70</v>
      </c>
      <c r="Y7" s="114"/>
      <c r="Z7" s="115"/>
      <c r="AA7" s="155" t="s">
        <v>5</v>
      </c>
      <c r="AB7" s="138"/>
      <c r="AC7" s="138"/>
      <c r="AD7" s="139"/>
    </row>
    <row r="8" spans="1:30" s="1" customFormat="1" ht="16.149999999999999" customHeight="1">
      <c r="A8" s="146"/>
      <c r="B8" s="118"/>
      <c r="C8" s="119"/>
      <c r="D8" s="119"/>
      <c r="E8" s="119"/>
      <c r="F8" s="120"/>
      <c r="G8" s="124"/>
      <c r="H8" s="122"/>
      <c r="I8" s="122"/>
      <c r="J8" s="122"/>
      <c r="K8" s="123"/>
      <c r="L8" s="42"/>
      <c r="M8" s="89"/>
      <c r="N8" s="131"/>
      <c r="O8" s="131"/>
      <c r="P8" s="18"/>
      <c r="Q8" s="19">
        <v>8.3333333333333329E-2</v>
      </c>
      <c r="R8" s="85"/>
      <c r="S8" s="152" t="s">
        <v>104</v>
      </c>
      <c r="T8" s="152"/>
      <c r="U8" s="153"/>
      <c r="V8" s="17">
        <v>0.125</v>
      </c>
      <c r="W8" s="7"/>
      <c r="X8" s="114" t="s">
        <v>19</v>
      </c>
      <c r="Y8" s="114"/>
      <c r="Z8" s="115"/>
      <c r="AA8" s="138"/>
      <c r="AB8" s="138"/>
      <c r="AC8" s="138"/>
      <c r="AD8" s="139"/>
    </row>
    <row r="9" spans="1:30" s="1" customFormat="1" ht="16.149999999999999" customHeight="1">
      <c r="A9" s="146"/>
      <c r="B9" s="118"/>
      <c r="C9" s="119"/>
      <c r="D9" s="119"/>
      <c r="E9" s="119"/>
      <c r="F9" s="120"/>
      <c r="G9" s="125"/>
      <c r="H9" s="126"/>
      <c r="I9" s="126"/>
      <c r="J9" s="126"/>
      <c r="K9" s="127"/>
      <c r="L9" s="24"/>
      <c r="M9" s="27"/>
      <c r="N9" s="130"/>
      <c r="O9" s="130"/>
      <c r="P9" s="26"/>
      <c r="Q9" s="28"/>
      <c r="R9" s="29"/>
      <c r="S9" s="150"/>
      <c r="T9" s="150"/>
      <c r="U9" s="151"/>
      <c r="V9" s="28">
        <v>0.14583333333333334</v>
      </c>
      <c r="W9" s="32" t="s">
        <v>24</v>
      </c>
      <c r="X9" s="150" t="s">
        <v>20</v>
      </c>
      <c r="Y9" s="150"/>
      <c r="Z9" s="151"/>
      <c r="AA9" s="156"/>
      <c r="AB9" s="157"/>
      <c r="AC9" s="157"/>
      <c r="AD9" s="158"/>
    </row>
    <row r="10" spans="1:30" s="2" customFormat="1" ht="16.149999999999999" customHeight="1">
      <c r="A10" s="146"/>
      <c r="B10" s="90">
        <f>AA2+2</f>
        <v>45845</v>
      </c>
      <c r="C10" s="43"/>
      <c r="D10" s="44" t="s">
        <v>22</v>
      </c>
      <c r="E10" s="45"/>
      <c r="F10" s="46" t="str">
        <f>_xll.XGToL(B10,"日")</f>
        <v>十三</v>
      </c>
      <c r="G10" s="14">
        <f>B10+1</f>
        <v>45846</v>
      </c>
      <c r="H10" s="9"/>
      <c r="I10" s="9"/>
      <c r="J10" s="9"/>
      <c r="K10" s="36"/>
      <c r="L10" s="9">
        <f>G10+1</f>
        <v>45847</v>
      </c>
      <c r="M10" s="91"/>
      <c r="N10" s="92" t="str">
        <f>D10</f>
        <v xml:space="preserve"> </v>
      </c>
      <c r="O10" s="92"/>
      <c r="P10" s="37" t="str">
        <f>_xll.XGToL(L10,"日")</f>
        <v>十五</v>
      </c>
      <c r="Q10" s="14">
        <f>L10+1</f>
        <v>45848</v>
      </c>
      <c r="R10" s="9"/>
      <c r="S10" s="92" t="str">
        <f>D10</f>
        <v xml:space="preserve"> </v>
      </c>
      <c r="T10" s="92"/>
      <c r="U10" s="37" t="str">
        <f>_xll.XGToL(Q10,"日")</f>
        <v>十六</v>
      </c>
      <c r="V10" s="14">
        <f>Q10+1</f>
        <v>45849</v>
      </c>
      <c r="W10" s="91"/>
      <c r="X10" s="92" t="str">
        <f>D10</f>
        <v xml:space="preserve"> </v>
      </c>
      <c r="Y10" s="92"/>
      <c r="Z10" s="37" t="str">
        <f>_xll.XGToL(V10,"日")</f>
        <v>十七</v>
      </c>
      <c r="AA10" s="14">
        <f>V10+1</f>
        <v>45850</v>
      </c>
      <c r="AB10" s="9"/>
      <c r="AC10" s="92" t="str">
        <f>D10</f>
        <v xml:space="preserve"> </v>
      </c>
      <c r="AD10" s="38" t="str">
        <f>_xll.XGToL(AA10,"日")</f>
        <v>十八</v>
      </c>
    </row>
    <row r="11" spans="1:30" s="1" customFormat="1" ht="16.149999999999999" customHeight="1">
      <c r="A11" s="146"/>
      <c r="B11" s="93">
        <v>0.375</v>
      </c>
      <c r="C11" s="73"/>
      <c r="D11" s="114" t="s">
        <v>80</v>
      </c>
      <c r="E11" s="114"/>
      <c r="F11" s="115"/>
      <c r="G11" s="19">
        <v>0.375</v>
      </c>
      <c r="H11" s="87" t="s">
        <v>23</v>
      </c>
      <c r="I11" s="114" t="s">
        <v>108</v>
      </c>
      <c r="J11" s="114"/>
      <c r="K11" s="115"/>
      <c r="L11" s="17">
        <v>0.375</v>
      </c>
      <c r="M11" s="82"/>
      <c r="N11" s="114" t="s">
        <v>43</v>
      </c>
      <c r="O11" s="114"/>
      <c r="P11" s="115"/>
      <c r="Q11" s="19">
        <v>0.375</v>
      </c>
      <c r="R11" s="80"/>
      <c r="S11" s="114" t="s">
        <v>81</v>
      </c>
      <c r="T11" s="114"/>
      <c r="U11" s="115"/>
      <c r="V11" s="17">
        <v>0.375</v>
      </c>
      <c r="W11" s="79" t="s">
        <v>23</v>
      </c>
      <c r="X11" s="114" t="s">
        <v>52</v>
      </c>
      <c r="Y11" s="114"/>
      <c r="Z11" s="115"/>
      <c r="AA11" s="80">
        <v>0.375</v>
      </c>
      <c r="AB11" s="80"/>
      <c r="AC11" s="114" t="s">
        <v>8</v>
      </c>
      <c r="AD11" s="133"/>
    </row>
    <row r="12" spans="1:30" s="1" customFormat="1" ht="16.149999999999999" customHeight="1">
      <c r="A12" s="146"/>
      <c r="B12" s="93">
        <v>0.41666666666666669</v>
      </c>
      <c r="C12" s="73" t="s">
        <v>65</v>
      </c>
      <c r="D12" s="114" t="s">
        <v>101</v>
      </c>
      <c r="E12" s="114"/>
      <c r="F12" s="115"/>
      <c r="G12" s="19">
        <v>0.41666666666666669</v>
      </c>
      <c r="H12" s="87" t="s">
        <v>23</v>
      </c>
      <c r="I12" s="114" t="s">
        <v>110</v>
      </c>
      <c r="J12" s="114"/>
      <c r="K12" s="115"/>
      <c r="L12" s="17">
        <v>0.39583333333333331</v>
      </c>
      <c r="M12" s="81"/>
      <c r="N12" s="184" t="s">
        <v>112</v>
      </c>
      <c r="O12" s="184"/>
      <c r="P12" s="185"/>
      <c r="Q12" s="19">
        <v>0.41666666666666669</v>
      </c>
      <c r="R12" s="39"/>
      <c r="S12" s="128" t="s">
        <v>21</v>
      </c>
      <c r="T12" s="128"/>
      <c r="U12" s="129"/>
      <c r="V12" s="17">
        <v>0.41666666666666669</v>
      </c>
      <c r="W12" s="82"/>
      <c r="X12" s="114" t="s">
        <v>73</v>
      </c>
      <c r="Y12" s="114"/>
      <c r="Z12" s="115"/>
      <c r="AA12" s="80">
        <v>0.39583333333333331</v>
      </c>
      <c r="AB12" s="80"/>
      <c r="AC12" s="114" t="s">
        <v>16</v>
      </c>
      <c r="AD12" s="133"/>
    </row>
    <row r="13" spans="1:30" s="1" customFormat="1" ht="16.149999999999999" customHeight="1">
      <c r="A13" s="146"/>
      <c r="B13" s="93">
        <v>0.4375</v>
      </c>
      <c r="C13" s="75"/>
      <c r="D13" s="114" t="s">
        <v>17</v>
      </c>
      <c r="E13" s="114"/>
      <c r="F13" s="115"/>
      <c r="G13" s="19">
        <v>0.4375</v>
      </c>
      <c r="H13" s="80"/>
      <c r="I13" s="114" t="s">
        <v>17</v>
      </c>
      <c r="J13" s="114"/>
      <c r="K13" s="115"/>
      <c r="L13" s="17">
        <v>0.4375</v>
      </c>
      <c r="M13" s="83"/>
      <c r="N13" s="114" t="s">
        <v>9</v>
      </c>
      <c r="O13" s="114"/>
      <c r="P13" s="115"/>
      <c r="Q13" s="19">
        <v>0.41666666666666669</v>
      </c>
      <c r="R13" s="39"/>
      <c r="S13" s="114" t="s">
        <v>26</v>
      </c>
      <c r="T13" s="114"/>
      <c r="U13" s="115"/>
      <c r="V13" s="17">
        <v>0.4375</v>
      </c>
      <c r="W13" s="82"/>
      <c r="X13" s="114" t="s">
        <v>17</v>
      </c>
      <c r="Y13" s="114"/>
      <c r="Z13" s="115"/>
      <c r="AA13" s="40"/>
      <c r="AB13" s="94"/>
      <c r="AC13" s="94"/>
      <c r="AD13" s="41"/>
    </row>
    <row r="14" spans="1:30" s="1" customFormat="1" ht="16.149999999999999" customHeight="1">
      <c r="A14" s="146"/>
      <c r="B14" s="95">
        <v>8.3333333333333329E-2</v>
      </c>
      <c r="C14" s="16"/>
      <c r="D14" s="114" t="s">
        <v>82</v>
      </c>
      <c r="E14" s="114"/>
      <c r="F14" s="115"/>
      <c r="G14" s="19">
        <v>8.3333333333333329E-2</v>
      </c>
      <c r="H14" s="73"/>
      <c r="I14" s="114" t="s">
        <v>46</v>
      </c>
      <c r="J14" s="114"/>
      <c r="K14" s="115"/>
      <c r="L14" s="19">
        <v>8.3333333333333329E-2</v>
      </c>
      <c r="M14" s="83"/>
      <c r="N14" s="114" t="s">
        <v>69</v>
      </c>
      <c r="O14" s="114"/>
      <c r="P14" s="114"/>
      <c r="Q14" s="19">
        <v>0.4375</v>
      </c>
      <c r="R14" s="85"/>
      <c r="S14" s="114" t="s">
        <v>17</v>
      </c>
      <c r="T14" s="114"/>
      <c r="U14" s="115"/>
      <c r="V14" s="17">
        <v>8.3333333333333329E-2</v>
      </c>
      <c r="W14" s="82"/>
      <c r="X14" s="114" t="s">
        <v>48</v>
      </c>
      <c r="Y14" s="114"/>
      <c r="Z14" s="115"/>
      <c r="AA14" s="138" t="s">
        <v>5</v>
      </c>
      <c r="AB14" s="138"/>
      <c r="AC14" s="138"/>
      <c r="AD14" s="139"/>
    </row>
    <row r="15" spans="1:30" s="1" customFormat="1" ht="16.149999999999999" customHeight="1">
      <c r="A15" s="146"/>
      <c r="B15" s="95"/>
      <c r="C15" s="75"/>
      <c r="D15" s="114"/>
      <c r="E15" s="114"/>
      <c r="F15" s="115"/>
      <c r="G15" s="96"/>
      <c r="H15" s="96"/>
      <c r="I15" s="114"/>
      <c r="J15" s="114"/>
      <c r="K15" s="115"/>
      <c r="L15" s="19">
        <v>0.125</v>
      </c>
      <c r="M15" s="87"/>
      <c r="N15" s="114" t="s">
        <v>83</v>
      </c>
      <c r="O15" s="114"/>
      <c r="P15" s="115"/>
      <c r="Q15" s="21">
        <v>8.3333333333333329E-2</v>
      </c>
      <c r="R15" s="81" t="s">
        <v>40</v>
      </c>
      <c r="S15" s="116" t="s">
        <v>66</v>
      </c>
      <c r="T15" s="116"/>
      <c r="U15" s="117"/>
      <c r="V15" s="17">
        <v>8.3333333333333329E-2</v>
      </c>
      <c r="W15" s="82"/>
      <c r="X15" s="114" t="s">
        <v>71</v>
      </c>
      <c r="Y15" s="114"/>
      <c r="Z15" s="115"/>
      <c r="AA15" s="138"/>
      <c r="AB15" s="138"/>
      <c r="AC15" s="138"/>
      <c r="AD15" s="139"/>
    </row>
    <row r="16" spans="1:30" s="1" customFormat="1" ht="16.149999999999999" customHeight="1">
      <c r="A16" s="146"/>
      <c r="B16" s="97"/>
      <c r="C16" s="76"/>
      <c r="D16" s="150"/>
      <c r="E16" s="150"/>
      <c r="F16" s="151"/>
      <c r="G16" s="17"/>
      <c r="H16" s="85"/>
      <c r="I16" s="150"/>
      <c r="J16" s="150"/>
      <c r="K16" s="151"/>
      <c r="L16" s="19"/>
      <c r="M16" s="98"/>
      <c r="N16" s="150"/>
      <c r="O16" s="150"/>
      <c r="P16" s="151"/>
      <c r="Q16" s="19">
        <v>8.3333333333333329E-2</v>
      </c>
      <c r="R16" s="85"/>
      <c r="S16" s="134" t="s">
        <v>105</v>
      </c>
      <c r="T16" s="134"/>
      <c r="U16" s="135"/>
      <c r="V16" s="17">
        <v>0.14583333333333334</v>
      </c>
      <c r="W16" s="99" t="s">
        <v>24</v>
      </c>
      <c r="X16" s="114" t="s">
        <v>20</v>
      </c>
      <c r="Y16" s="114"/>
      <c r="Z16" s="115"/>
      <c r="AA16" s="138"/>
      <c r="AB16" s="138"/>
      <c r="AC16" s="138"/>
      <c r="AD16" s="139"/>
    </row>
    <row r="17" spans="1:31" s="1" customFormat="1" ht="16.149999999999999" customHeight="1">
      <c r="A17" s="146"/>
      <c r="B17" s="90">
        <f>AA10+2</f>
        <v>45852</v>
      </c>
      <c r="C17" s="43"/>
      <c r="D17" s="44" t="s">
        <v>22</v>
      </c>
      <c r="E17" s="45"/>
      <c r="F17" s="46" t="str">
        <f>_xll.XGToL(B17,"日")</f>
        <v>二十</v>
      </c>
      <c r="G17" s="43">
        <f>B17+1</f>
        <v>45853</v>
      </c>
      <c r="H17" s="43"/>
      <c r="I17" s="45" t="str">
        <f>D17</f>
        <v xml:space="preserve"> </v>
      </c>
      <c r="J17" s="45"/>
      <c r="K17" s="46" t="str">
        <f>_xll.XGToL(G17,"日")</f>
        <v>廿一</v>
      </c>
      <c r="L17" s="47">
        <f>G17+1</f>
        <v>45854</v>
      </c>
      <c r="M17" s="48"/>
      <c r="N17" s="45" t="str">
        <f>D17</f>
        <v xml:space="preserve"> </v>
      </c>
      <c r="O17" s="45"/>
      <c r="P17" s="46" t="str">
        <f>_xll.XGToL(L17,"日")</f>
        <v>廿二</v>
      </c>
      <c r="Q17" s="47">
        <f>L17+1</f>
        <v>45855</v>
      </c>
      <c r="R17" s="43"/>
      <c r="S17" s="45" t="str">
        <f>D17</f>
        <v xml:space="preserve"> </v>
      </c>
      <c r="T17" s="45"/>
      <c r="U17" s="46" t="str">
        <f>_xll.XGToL(Q17,"日")</f>
        <v>廿三</v>
      </c>
      <c r="V17" s="47">
        <f>Q17+1</f>
        <v>45856</v>
      </c>
      <c r="W17" s="48"/>
      <c r="X17" s="45" t="str">
        <f>D17</f>
        <v xml:space="preserve"> </v>
      </c>
      <c r="Y17" s="45"/>
      <c r="Z17" s="46" t="str">
        <f>_xll.XGToL(V17,"日")</f>
        <v>廿四</v>
      </c>
      <c r="AA17" s="47">
        <f>V17+1</f>
        <v>45857</v>
      </c>
      <c r="AB17" s="43"/>
      <c r="AC17" s="45" t="str">
        <f>D17</f>
        <v xml:space="preserve"> </v>
      </c>
      <c r="AD17" s="49" t="str">
        <f>_xll.XGToL(AA17,"日")</f>
        <v>廿五</v>
      </c>
    </row>
    <row r="18" spans="1:31" s="1" customFormat="1" ht="16.149999999999999" customHeight="1">
      <c r="A18" s="146"/>
      <c r="B18" s="93">
        <v>0.375</v>
      </c>
      <c r="C18" s="73"/>
      <c r="D18" s="136" t="s">
        <v>111</v>
      </c>
      <c r="E18" s="136"/>
      <c r="F18" s="137"/>
      <c r="G18" s="19">
        <v>0.375</v>
      </c>
      <c r="H18" s="87" t="s">
        <v>23</v>
      </c>
      <c r="I18" s="114" t="s">
        <v>109</v>
      </c>
      <c r="J18" s="114"/>
      <c r="K18" s="115"/>
      <c r="L18" s="17">
        <v>0.375</v>
      </c>
      <c r="M18" s="79" t="s">
        <v>23</v>
      </c>
      <c r="N18" s="114" t="s">
        <v>56</v>
      </c>
      <c r="O18" s="114"/>
      <c r="P18" s="115"/>
      <c r="Q18" s="19">
        <v>0.375</v>
      </c>
      <c r="R18" s="80"/>
      <c r="S18" s="114" t="s">
        <v>85</v>
      </c>
      <c r="T18" s="114"/>
      <c r="U18" s="115"/>
      <c r="V18" s="17">
        <v>0.375</v>
      </c>
      <c r="W18" s="79" t="s">
        <v>23</v>
      </c>
      <c r="X18" s="114" t="s">
        <v>53</v>
      </c>
      <c r="Y18" s="114"/>
      <c r="Z18" s="115"/>
      <c r="AA18" s="80">
        <v>0.375</v>
      </c>
      <c r="AB18" s="80"/>
      <c r="AC18" s="114" t="s">
        <v>8</v>
      </c>
      <c r="AD18" s="133"/>
    </row>
    <row r="19" spans="1:31" s="1" customFormat="1" ht="16.149999999999999" customHeight="1">
      <c r="A19" s="146"/>
      <c r="B19" s="93"/>
      <c r="C19" s="73"/>
      <c r="D19" s="136"/>
      <c r="E19" s="136"/>
      <c r="F19" s="137"/>
      <c r="G19" s="19">
        <v>0.41666666666666669</v>
      </c>
      <c r="H19" s="87" t="s">
        <v>23</v>
      </c>
      <c r="I19" s="114" t="s">
        <v>64</v>
      </c>
      <c r="J19" s="114"/>
      <c r="K19" s="115"/>
      <c r="L19" s="19">
        <v>0.41666666666666669</v>
      </c>
      <c r="M19" s="81"/>
      <c r="N19" s="128" t="s">
        <v>98</v>
      </c>
      <c r="O19" s="128"/>
      <c r="P19" s="129"/>
      <c r="Q19" s="19">
        <v>0.41666666666666669</v>
      </c>
      <c r="R19" s="80"/>
      <c r="S19" s="128" t="s">
        <v>21</v>
      </c>
      <c r="T19" s="128"/>
      <c r="U19" s="129"/>
      <c r="V19" s="17">
        <v>0.41666666666666669</v>
      </c>
      <c r="W19" s="82"/>
      <c r="X19" s="114" t="s">
        <v>86</v>
      </c>
      <c r="Y19" s="114"/>
      <c r="Z19" s="115"/>
      <c r="AA19" s="80">
        <v>0.39583333333333331</v>
      </c>
      <c r="AB19" s="80"/>
      <c r="AC19" s="114" t="s">
        <v>16</v>
      </c>
      <c r="AD19" s="133"/>
    </row>
    <row r="20" spans="1:31" s="1" customFormat="1" ht="16.149999999999999" customHeight="1">
      <c r="A20" s="146"/>
      <c r="B20" s="93">
        <v>0.375</v>
      </c>
      <c r="C20" s="73"/>
      <c r="D20" s="114" t="s">
        <v>84</v>
      </c>
      <c r="E20" s="114"/>
      <c r="F20" s="115"/>
      <c r="G20" s="19">
        <v>0.4375</v>
      </c>
      <c r="H20" s="80"/>
      <c r="I20" s="114" t="s">
        <v>17</v>
      </c>
      <c r="J20" s="114"/>
      <c r="K20" s="115"/>
      <c r="L20" s="17"/>
      <c r="M20" s="83"/>
      <c r="N20" s="128"/>
      <c r="O20" s="128"/>
      <c r="P20" s="129"/>
      <c r="Q20" s="19">
        <v>0.41666666666666669</v>
      </c>
      <c r="R20" s="80"/>
      <c r="S20" s="114" t="s">
        <v>26</v>
      </c>
      <c r="T20" s="114"/>
      <c r="U20" s="115"/>
      <c r="V20" s="17">
        <v>0.4375</v>
      </c>
      <c r="W20" s="82"/>
      <c r="X20" s="114" t="s">
        <v>17</v>
      </c>
      <c r="Y20" s="114"/>
      <c r="Z20" s="115"/>
      <c r="AA20" s="19"/>
      <c r="AB20" s="39"/>
      <c r="AC20" s="74"/>
      <c r="AD20" s="20"/>
      <c r="AE20" s="8"/>
    </row>
    <row r="21" spans="1:31" s="1" customFormat="1" ht="16.149999999999999" customHeight="1">
      <c r="A21" s="146"/>
      <c r="B21" s="93">
        <v>0.41666666666666669</v>
      </c>
      <c r="C21" s="73" t="s">
        <v>65</v>
      </c>
      <c r="D21" s="114" t="s">
        <v>102</v>
      </c>
      <c r="E21" s="114"/>
      <c r="F21" s="115"/>
      <c r="G21" s="19">
        <v>8.3333333333333329E-2</v>
      </c>
      <c r="H21" s="39"/>
      <c r="I21" s="132" t="s">
        <v>14</v>
      </c>
      <c r="J21" s="132"/>
      <c r="K21" s="144"/>
      <c r="L21" s="17">
        <v>0.4375</v>
      </c>
      <c r="M21" s="83"/>
      <c r="N21" s="114" t="s">
        <v>9</v>
      </c>
      <c r="O21" s="114"/>
      <c r="P21" s="115"/>
      <c r="Q21" s="19">
        <v>0.4375</v>
      </c>
      <c r="R21" s="80"/>
      <c r="S21" s="114" t="s">
        <v>17</v>
      </c>
      <c r="T21" s="114"/>
      <c r="U21" s="115"/>
      <c r="V21" s="17">
        <v>8.3333333333333329E-2</v>
      </c>
      <c r="W21" s="82"/>
      <c r="X21" s="114" t="s">
        <v>59</v>
      </c>
      <c r="Y21" s="114"/>
      <c r="Z21" s="115"/>
      <c r="AA21" s="50"/>
      <c r="AB21" s="80"/>
      <c r="AC21" s="114"/>
      <c r="AD21" s="133"/>
    </row>
    <row r="22" spans="1:31" s="1" customFormat="1" ht="16.149999999999999" customHeight="1">
      <c r="A22" s="146"/>
      <c r="B22" s="93">
        <v>0.4375</v>
      </c>
      <c r="C22" s="75"/>
      <c r="D22" s="114" t="s">
        <v>17</v>
      </c>
      <c r="E22" s="114"/>
      <c r="F22" s="115"/>
      <c r="G22" s="19">
        <v>0.10416666666666667</v>
      </c>
      <c r="H22" s="39"/>
      <c r="I22" s="132" t="s">
        <v>15</v>
      </c>
      <c r="J22" s="132"/>
      <c r="K22" s="144"/>
      <c r="L22" s="19">
        <v>8.3333333333333329E-2</v>
      </c>
      <c r="M22" s="87" t="s">
        <v>96</v>
      </c>
      <c r="N22" s="136" t="s">
        <v>67</v>
      </c>
      <c r="O22" s="136"/>
      <c r="P22" s="137"/>
      <c r="Q22" s="19">
        <v>8.3333333333333329E-2</v>
      </c>
      <c r="R22" s="85"/>
      <c r="S22" s="114" t="s">
        <v>58</v>
      </c>
      <c r="T22" s="114"/>
      <c r="U22" s="114"/>
      <c r="V22" s="17">
        <v>8.3333333333333329E-2</v>
      </c>
      <c r="W22" s="81"/>
      <c r="X22" s="114" t="s">
        <v>49</v>
      </c>
      <c r="Y22" s="114"/>
      <c r="Z22" s="115"/>
      <c r="AA22" s="138" t="s">
        <v>5</v>
      </c>
      <c r="AB22" s="138"/>
      <c r="AC22" s="138"/>
      <c r="AD22" s="139"/>
    </row>
    <row r="23" spans="1:31" s="1" customFormat="1" ht="16.149999999999999" customHeight="1">
      <c r="A23" s="146"/>
      <c r="B23" s="95">
        <v>8.3333333333333329E-2</v>
      </c>
      <c r="C23" s="16"/>
      <c r="D23" s="114" t="s">
        <v>87</v>
      </c>
      <c r="E23" s="114"/>
      <c r="F23" s="115"/>
      <c r="G23" s="51">
        <v>0.125</v>
      </c>
      <c r="H23" s="100"/>
      <c r="I23" s="142" t="s">
        <v>45</v>
      </c>
      <c r="J23" s="142"/>
      <c r="K23" s="143"/>
      <c r="L23" s="51"/>
      <c r="M23" s="101"/>
      <c r="N23" s="142"/>
      <c r="O23" s="142"/>
      <c r="P23" s="143"/>
      <c r="Q23" s="19">
        <v>8.3333333333333329E-2</v>
      </c>
      <c r="R23" s="85"/>
      <c r="S23" s="134" t="s">
        <v>106</v>
      </c>
      <c r="T23" s="134"/>
      <c r="U23" s="135"/>
      <c r="V23" s="17">
        <v>0.125</v>
      </c>
      <c r="W23" s="81"/>
      <c r="X23" s="114" t="s">
        <v>19</v>
      </c>
      <c r="Y23" s="114"/>
      <c r="Z23" s="115"/>
      <c r="AA23" s="138"/>
      <c r="AB23" s="138"/>
      <c r="AC23" s="138"/>
      <c r="AD23" s="139"/>
    </row>
    <row r="24" spans="1:31" s="1" customFormat="1" ht="16.149999999999999" customHeight="1">
      <c r="A24" s="146"/>
      <c r="B24" s="95">
        <v>0.125</v>
      </c>
      <c r="C24" s="85"/>
      <c r="D24" s="132" t="s">
        <v>10</v>
      </c>
      <c r="E24" s="132"/>
      <c r="F24" s="144"/>
      <c r="G24" s="96"/>
      <c r="H24" s="96"/>
      <c r="I24" s="96"/>
      <c r="J24" s="96"/>
      <c r="K24" s="96"/>
      <c r="L24" s="51"/>
      <c r="M24" s="101"/>
      <c r="N24" s="142"/>
      <c r="O24" s="142"/>
      <c r="P24" s="143"/>
      <c r="Q24" s="96"/>
      <c r="R24" s="96"/>
      <c r="S24" s="96"/>
      <c r="T24" s="96"/>
      <c r="U24" s="96"/>
      <c r="V24" s="17">
        <v>0.14583333333333334</v>
      </c>
      <c r="W24" s="99" t="s">
        <v>24</v>
      </c>
      <c r="X24" s="114" t="s">
        <v>20</v>
      </c>
      <c r="Y24" s="114"/>
      <c r="Z24" s="115"/>
      <c r="AA24" s="138"/>
      <c r="AB24" s="138"/>
      <c r="AC24" s="138"/>
      <c r="AD24" s="139"/>
      <c r="AE24" s="3"/>
    </row>
    <row r="25" spans="1:31" s="1" customFormat="1" ht="16.149999999999999" customHeight="1">
      <c r="A25" s="146"/>
      <c r="B25" s="95"/>
      <c r="C25" s="85"/>
      <c r="D25" s="114"/>
      <c r="E25" s="114"/>
      <c r="F25" s="115"/>
      <c r="G25" s="19"/>
      <c r="H25" s="94"/>
      <c r="I25" s="114"/>
      <c r="J25" s="114"/>
      <c r="K25" s="115"/>
      <c r="L25" s="51"/>
      <c r="M25" s="101"/>
      <c r="N25" s="100"/>
      <c r="O25" s="100"/>
      <c r="P25" s="52"/>
      <c r="Q25" s="17"/>
      <c r="R25" s="73"/>
      <c r="S25" s="114"/>
      <c r="T25" s="114"/>
      <c r="U25" s="115"/>
      <c r="V25" s="21">
        <v>0.10416666666666667</v>
      </c>
      <c r="W25" s="81" t="s">
        <v>40</v>
      </c>
      <c r="X25" s="140" t="s">
        <v>120</v>
      </c>
      <c r="Y25" s="140"/>
      <c r="Z25" s="141"/>
      <c r="AA25" s="138"/>
      <c r="AB25" s="138"/>
      <c r="AC25" s="138"/>
      <c r="AD25" s="139"/>
    </row>
    <row r="26" spans="1:31" s="1" customFormat="1" ht="16.149999999999999" customHeight="1">
      <c r="A26" s="146"/>
      <c r="B26" s="90">
        <f>AA17+2</f>
        <v>45859</v>
      </c>
      <c r="C26" s="43"/>
      <c r="D26" s="44" t="s">
        <v>22</v>
      </c>
      <c r="E26" s="45"/>
      <c r="F26" s="46" t="str">
        <f>_xll.XGToL(B26,"日")</f>
        <v>廿七</v>
      </c>
      <c r="G26" s="47">
        <f>B26+1</f>
        <v>45860</v>
      </c>
      <c r="H26" s="43"/>
      <c r="I26" s="45" t="str">
        <f>D26</f>
        <v xml:space="preserve"> </v>
      </c>
      <c r="J26" s="45"/>
      <c r="K26" s="46" t="str">
        <f>_xll.XGToL(G26,"日")</f>
        <v>廿八</v>
      </c>
      <c r="L26" s="47">
        <f>G26+1</f>
        <v>45861</v>
      </c>
      <c r="M26" s="48"/>
      <c r="N26" s="45" t="str">
        <f>D26</f>
        <v xml:space="preserve"> </v>
      </c>
      <c r="O26" s="45"/>
      <c r="P26" s="46" t="str">
        <f>_xll.XGToL(L26,"日")</f>
        <v>廿九</v>
      </c>
      <c r="Q26" s="43">
        <f>L26+1</f>
        <v>45862</v>
      </c>
      <c r="R26" s="43"/>
      <c r="S26" s="45" t="str">
        <f>D26</f>
        <v xml:space="preserve"> </v>
      </c>
      <c r="T26" s="45"/>
      <c r="U26" s="46" t="str">
        <f>_xll.XGToL(Q26,"日")</f>
        <v>三十</v>
      </c>
      <c r="V26" s="47">
        <f>Q26+1</f>
        <v>45863</v>
      </c>
      <c r="W26" s="48"/>
      <c r="X26" s="45" t="str">
        <f>D26</f>
        <v xml:space="preserve"> </v>
      </c>
      <c r="Y26" s="45"/>
      <c r="Z26" s="46" t="str">
        <f>_xll.XGToL(V26,"日")</f>
        <v>初一</v>
      </c>
      <c r="AA26" s="47">
        <f>V26+1</f>
        <v>45864</v>
      </c>
      <c r="AB26" s="43"/>
      <c r="AC26" s="45" t="str">
        <f>D26</f>
        <v xml:space="preserve"> </v>
      </c>
      <c r="AD26" s="49" t="str">
        <f>_xll.XGToL(AA26,"日")</f>
        <v>初二</v>
      </c>
    </row>
    <row r="27" spans="1:31" s="1" customFormat="1" ht="16.149999999999999" customHeight="1">
      <c r="A27" s="146"/>
      <c r="B27" s="93">
        <v>0.375</v>
      </c>
      <c r="C27" s="73"/>
      <c r="D27" s="114" t="s">
        <v>88</v>
      </c>
      <c r="E27" s="114"/>
      <c r="F27" s="115"/>
      <c r="G27" s="19">
        <v>0.375</v>
      </c>
      <c r="H27" s="85"/>
      <c r="I27" s="132" t="s">
        <v>41</v>
      </c>
      <c r="J27" s="132"/>
      <c r="K27" s="132"/>
      <c r="L27" s="17">
        <v>0.375</v>
      </c>
      <c r="M27" s="83"/>
      <c r="N27" s="114" t="s">
        <v>42</v>
      </c>
      <c r="O27" s="114"/>
      <c r="P27" s="115"/>
      <c r="Q27" s="19">
        <v>0.375</v>
      </c>
      <c r="R27" s="80"/>
      <c r="S27" s="114" t="s">
        <v>89</v>
      </c>
      <c r="T27" s="114"/>
      <c r="U27" s="115"/>
      <c r="V27" s="17">
        <v>0.375</v>
      </c>
      <c r="W27" s="79" t="s">
        <v>23</v>
      </c>
      <c r="X27" s="114" t="s">
        <v>54</v>
      </c>
      <c r="Y27" s="114"/>
      <c r="Z27" s="115"/>
      <c r="AA27" s="50">
        <v>0.375</v>
      </c>
      <c r="AB27" s="80"/>
      <c r="AC27" s="114" t="s">
        <v>8</v>
      </c>
      <c r="AD27" s="133"/>
    </row>
    <row r="28" spans="1:31" s="1" customFormat="1" ht="16.149999999999999" customHeight="1">
      <c r="A28" s="146"/>
      <c r="B28" s="93">
        <v>0.41666666666666669</v>
      </c>
      <c r="C28" s="73" t="s">
        <v>65</v>
      </c>
      <c r="D28" s="114" t="s">
        <v>99</v>
      </c>
      <c r="E28" s="114"/>
      <c r="F28" s="115"/>
      <c r="G28" s="19">
        <v>0.39583333333333331</v>
      </c>
      <c r="H28" s="85"/>
      <c r="I28" s="132" t="s">
        <v>18</v>
      </c>
      <c r="J28" s="132"/>
      <c r="K28" s="132"/>
      <c r="L28" s="19">
        <v>0.39583333333333331</v>
      </c>
      <c r="M28" s="102" t="s">
        <v>97</v>
      </c>
      <c r="N28" s="136" t="s">
        <v>44</v>
      </c>
      <c r="O28" s="136"/>
      <c r="P28" s="137"/>
      <c r="Q28" s="19">
        <v>0.41666666666666669</v>
      </c>
      <c r="R28" s="80"/>
      <c r="S28" s="128" t="s">
        <v>21</v>
      </c>
      <c r="T28" s="128"/>
      <c r="U28" s="129"/>
      <c r="V28" s="17">
        <v>0.41666666666666669</v>
      </c>
      <c r="W28" s="82"/>
      <c r="X28" s="114" t="s">
        <v>90</v>
      </c>
      <c r="Y28" s="114"/>
      <c r="Z28" s="115"/>
      <c r="AA28" s="80">
        <v>0.39583333333333331</v>
      </c>
      <c r="AB28" s="80"/>
      <c r="AC28" s="114" t="s">
        <v>16</v>
      </c>
      <c r="AD28" s="133"/>
    </row>
    <row r="29" spans="1:31" s="1" customFormat="1" ht="16.149999999999999" customHeight="1">
      <c r="A29" s="146"/>
      <c r="B29" s="93">
        <v>0.4375</v>
      </c>
      <c r="C29" s="75"/>
      <c r="D29" s="114" t="s">
        <v>17</v>
      </c>
      <c r="E29" s="114"/>
      <c r="F29" s="115"/>
      <c r="G29" s="19">
        <v>0.4375</v>
      </c>
      <c r="H29" s="85"/>
      <c r="I29" s="114" t="s">
        <v>17</v>
      </c>
      <c r="J29" s="114"/>
      <c r="K29" s="115"/>
      <c r="L29" s="17">
        <v>0.4375</v>
      </c>
      <c r="M29" s="83"/>
      <c r="N29" s="114" t="s">
        <v>9</v>
      </c>
      <c r="O29" s="114"/>
      <c r="P29" s="115"/>
      <c r="Q29" s="19">
        <v>0.41666666666666669</v>
      </c>
      <c r="R29" s="80"/>
      <c r="S29" s="114" t="s">
        <v>26</v>
      </c>
      <c r="T29" s="114"/>
      <c r="U29" s="115"/>
      <c r="V29" s="17">
        <v>0.4375</v>
      </c>
      <c r="W29" s="82"/>
      <c r="X29" s="114" t="s">
        <v>17</v>
      </c>
      <c r="Y29" s="114"/>
      <c r="Z29" s="115"/>
      <c r="AA29" s="53"/>
      <c r="AB29" s="103"/>
      <c r="AC29" s="114"/>
      <c r="AD29" s="133"/>
    </row>
    <row r="30" spans="1:31" s="1" customFormat="1" ht="16.149999999999999" customHeight="1">
      <c r="A30" s="146"/>
      <c r="B30" s="95">
        <v>8.3333333333333329E-2</v>
      </c>
      <c r="C30" s="16"/>
      <c r="D30" s="114" t="s">
        <v>91</v>
      </c>
      <c r="E30" s="114"/>
      <c r="F30" s="115"/>
      <c r="G30" s="19">
        <v>8.3333333333333329E-2</v>
      </c>
      <c r="H30" s="80"/>
      <c r="I30" s="132" t="s">
        <v>37</v>
      </c>
      <c r="J30" s="132"/>
      <c r="K30" s="132"/>
      <c r="L30" s="19">
        <v>8.3333333333333329E-2</v>
      </c>
      <c r="M30" s="83"/>
      <c r="N30" s="114" t="s">
        <v>63</v>
      </c>
      <c r="O30" s="114"/>
      <c r="P30" s="115"/>
      <c r="Q30" s="19">
        <v>0.4375</v>
      </c>
      <c r="R30" s="80"/>
      <c r="S30" s="114" t="s">
        <v>17</v>
      </c>
      <c r="T30" s="114"/>
      <c r="U30" s="115"/>
      <c r="V30" s="17">
        <v>8.3333333333333329E-2</v>
      </c>
      <c r="W30" s="82"/>
      <c r="X30" s="114" t="s">
        <v>62</v>
      </c>
      <c r="Y30" s="114"/>
      <c r="Z30" s="115"/>
      <c r="AA30" s="54"/>
      <c r="AB30" s="104"/>
      <c r="AC30" s="114"/>
      <c r="AD30" s="133"/>
    </row>
    <row r="31" spans="1:31" s="1" customFormat="1" ht="16.149999999999999" customHeight="1">
      <c r="A31" s="177" t="s">
        <v>13</v>
      </c>
      <c r="B31" s="95"/>
      <c r="C31" s="85"/>
      <c r="D31" s="114"/>
      <c r="E31" s="114"/>
      <c r="F31" s="115"/>
      <c r="G31" s="19"/>
      <c r="H31" s="105"/>
      <c r="I31" s="134"/>
      <c r="J31" s="134"/>
      <c r="K31" s="135"/>
      <c r="L31" s="19">
        <v>0.125</v>
      </c>
      <c r="M31" s="87"/>
      <c r="N31" s="114" t="s">
        <v>92</v>
      </c>
      <c r="O31" s="114"/>
      <c r="P31" s="115"/>
      <c r="Q31" s="19">
        <v>8.3333333333333329E-2</v>
      </c>
      <c r="R31" s="85"/>
      <c r="S31" s="114" t="s">
        <v>60</v>
      </c>
      <c r="T31" s="114"/>
      <c r="U31" s="114"/>
      <c r="V31" s="17">
        <v>8.3333333333333329E-2</v>
      </c>
      <c r="W31" s="82"/>
      <c r="X31" s="114" t="s">
        <v>50</v>
      </c>
      <c r="Y31" s="114"/>
      <c r="Z31" s="115"/>
      <c r="AA31" s="155" t="s">
        <v>5</v>
      </c>
      <c r="AB31" s="138"/>
      <c r="AC31" s="138"/>
      <c r="AD31" s="139"/>
    </row>
    <row r="32" spans="1:31" s="1" customFormat="1" ht="16.149999999999999" customHeight="1">
      <c r="A32" s="177"/>
      <c r="B32" s="95"/>
      <c r="C32" s="85"/>
      <c r="D32" s="132"/>
      <c r="E32" s="132"/>
      <c r="F32" s="144"/>
      <c r="G32" s="19"/>
      <c r="H32" s="94"/>
      <c r="I32" s="74"/>
      <c r="J32" s="74"/>
      <c r="K32" s="18"/>
      <c r="L32" s="19"/>
      <c r="M32" s="83"/>
      <c r="N32" s="132"/>
      <c r="O32" s="132"/>
      <c r="P32" s="132"/>
      <c r="Q32" s="19">
        <v>8.3333333333333329E-2</v>
      </c>
      <c r="R32" s="85"/>
      <c r="S32" s="134" t="s">
        <v>107</v>
      </c>
      <c r="T32" s="134"/>
      <c r="U32" s="135"/>
      <c r="V32" s="17">
        <v>0.14583333333333334</v>
      </c>
      <c r="W32" s="99" t="s">
        <v>24</v>
      </c>
      <c r="X32" s="114" t="s">
        <v>20</v>
      </c>
      <c r="Y32" s="114"/>
      <c r="Z32" s="115"/>
      <c r="AA32" s="138"/>
      <c r="AB32" s="138"/>
      <c r="AC32" s="138"/>
      <c r="AD32" s="139"/>
    </row>
    <row r="33" spans="1:30" s="1" customFormat="1" ht="16.149999999999999" customHeight="1">
      <c r="A33" s="177"/>
      <c r="B33" s="97"/>
      <c r="C33" s="55"/>
      <c r="D33" s="30"/>
      <c r="E33" s="30"/>
      <c r="F33" s="30"/>
      <c r="G33" s="56"/>
      <c r="H33" s="57"/>
      <c r="I33" s="30"/>
      <c r="J33" s="30"/>
      <c r="K33" s="31"/>
      <c r="L33" s="24"/>
      <c r="M33" s="58"/>
      <c r="N33" s="25"/>
      <c r="O33" s="25"/>
      <c r="P33" s="26"/>
      <c r="Q33" s="24"/>
      <c r="R33" s="25"/>
      <c r="S33" s="25"/>
      <c r="T33" s="25"/>
      <c r="U33" s="26"/>
      <c r="V33" s="28"/>
      <c r="W33" s="59"/>
      <c r="X33" s="150"/>
      <c r="Y33" s="150"/>
      <c r="Z33" s="151"/>
      <c r="AA33" s="33"/>
      <c r="AB33" s="34"/>
      <c r="AC33" s="34"/>
      <c r="AD33" s="35"/>
    </row>
    <row r="34" spans="1:30" s="1" customFormat="1" ht="16.149999999999999" customHeight="1">
      <c r="A34" s="177"/>
      <c r="B34" s="106">
        <f>AA26+2</f>
        <v>45866</v>
      </c>
      <c r="C34" s="9"/>
      <c r="D34" s="107" t="s">
        <v>22</v>
      </c>
      <c r="E34" s="92"/>
      <c r="F34" s="92" t="str">
        <f>_xll.XGToL(B34,"日")</f>
        <v>初四</v>
      </c>
      <c r="G34" s="47">
        <v>29</v>
      </c>
      <c r="H34" s="43"/>
      <c r="I34" s="45" t="str">
        <f>D34</f>
        <v xml:space="preserve"> </v>
      </c>
      <c r="J34" s="45"/>
      <c r="K34" s="46" t="str">
        <f>_xll.XGToL(G34,"日")</f>
        <v>廿九</v>
      </c>
      <c r="L34" s="47">
        <v>30</v>
      </c>
      <c r="M34" s="48"/>
      <c r="N34" s="45" t="str">
        <f>D34</f>
        <v xml:space="preserve"> </v>
      </c>
      <c r="O34" s="45"/>
      <c r="P34" s="46" t="str">
        <f>_xll.XGToL(L34,"日")</f>
        <v>三十</v>
      </c>
      <c r="Q34" s="43">
        <v>31</v>
      </c>
      <c r="R34" s="43"/>
      <c r="S34" s="45" t="str">
        <f>D34</f>
        <v xml:space="preserve"> </v>
      </c>
      <c r="T34" s="45"/>
      <c r="U34" s="45" t="str">
        <f>_xll.XGToL(Q34,"日")</f>
        <v>初一</v>
      </c>
      <c r="V34" s="47"/>
      <c r="W34" s="43"/>
      <c r="X34" s="45" t="str">
        <f>D34</f>
        <v xml:space="preserve"> </v>
      </c>
      <c r="Y34" s="45"/>
      <c r="Z34" s="46"/>
      <c r="AA34" s="47"/>
      <c r="AB34" s="43"/>
      <c r="AC34" s="45" t="str">
        <f>D34</f>
        <v xml:space="preserve"> </v>
      </c>
      <c r="AD34" s="49"/>
    </row>
    <row r="35" spans="1:30" s="1" customFormat="1" ht="16.149999999999999" customHeight="1">
      <c r="A35" s="177"/>
      <c r="B35" s="93">
        <v>0.375</v>
      </c>
      <c r="C35" s="73"/>
      <c r="D35" s="114" t="s">
        <v>93</v>
      </c>
      <c r="E35" s="114"/>
      <c r="F35" s="115"/>
      <c r="G35" s="19">
        <v>0.375</v>
      </c>
      <c r="H35" s="87" t="s">
        <v>23</v>
      </c>
      <c r="I35" s="114" t="s">
        <v>116</v>
      </c>
      <c r="J35" s="114"/>
      <c r="K35" s="115"/>
      <c r="L35" s="17">
        <v>0.375</v>
      </c>
      <c r="M35" s="79" t="s">
        <v>23</v>
      </c>
      <c r="N35" s="114" t="s">
        <v>57</v>
      </c>
      <c r="O35" s="114"/>
      <c r="P35" s="115"/>
      <c r="Q35" s="19">
        <v>0.375</v>
      </c>
      <c r="R35" s="80"/>
      <c r="S35" s="114" t="s">
        <v>94</v>
      </c>
      <c r="T35" s="114"/>
      <c r="U35" s="115"/>
      <c r="V35" s="162" t="s">
        <v>38</v>
      </c>
      <c r="W35" s="163"/>
      <c r="X35" s="163"/>
      <c r="Y35" s="163"/>
      <c r="Z35" s="164"/>
      <c r="AA35" s="50"/>
      <c r="AB35" s="73" t="s">
        <v>29</v>
      </c>
      <c r="AC35" s="131" t="s">
        <v>30</v>
      </c>
      <c r="AD35" s="161"/>
    </row>
    <row r="36" spans="1:30" s="1" customFormat="1" ht="16.149999999999999" customHeight="1">
      <c r="A36" s="177"/>
      <c r="B36" s="93">
        <v>0.41666666666666669</v>
      </c>
      <c r="C36" s="73" t="s">
        <v>65</v>
      </c>
      <c r="D36" s="114" t="s">
        <v>100</v>
      </c>
      <c r="E36" s="114"/>
      <c r="F36" s="114"/>
      <c r="G36" s="19">
        <v>0.41666666666666669</v>
      </c>
      <c r="H36" s="87" t="s">
        <v>23</v>
      </c>
      <c r="I36" s="114" t="s">
        <v>117</v>
      </c>
      <c r="J36" s="114"/>
      <c r="K36" s="115"/>
      <c r="L36" s="19">
        <v>0.41666666666666669</v>
      </c>
      <c r="M36" s="102"/>
      <c r="N36" s="186" t="s">
        <v>119</v>
      </c>
      <c r="O36" s="186"/>
      <c r="P36" s="187"/>
      <c r="Q36" s="19">
        <v>0.41666666666666669</v>
      </c>
      <c r="R36" s="80"/>
      <c r="S36" s="128" t="s">
        <v>21</v>
      </c>
      <c r="T36" s="128"/>
      <c r="U36" s="129"/>
      <c r="V36" s="162"/>
      <c r="W36" s="163"/>
      <c r="X36" s="163"/>
      <c r="Y36" s="163"/>
      <c r="Z36" s="164"/>
      <c r="AA36" s="80"/>
      <c r="AB36" s="108" t="s">
        <v>25</v>
      </c>
      <c r="AC36" s="131" t="s">
        <v>31</v>
      </c>
      <c r="AD36" s="161"/>
    </row>
    <row r="37" spans="1:30" s="1" customFormat="1" ht="16.149999999999999" customHeight="1">
      <c r="A37" s="177"/>
      <c r="B37" s="93">
        <v>0.4375</v>
      </c>
      <c r="C37" s="75"/>
      <c r="D37" s="114" t="s">
        <v>17</v>
      </c>
      <c r="E37" s="114"/>
      <c r="F37" s="114"/>
      <c r="G37" s="19">
        <v>0.4375</v>
      </c>
      <c r="H37" s="80"/>
      <c r="I37" s="114" t="s">
        <v>17</v>
      </c>
      <c r="J37" s="114"/>
      <c r="K37" s="115"/>
      <c r="L37" s="96"/>
      <c r="M37" s="7"/>
      <c r="N37" s="186"/>
      <c r="O37" s="186"/>
      <c r="P37" s="187"/>
      <c r="Q37" s="19">
        <v>0.41666666666666669</v>
      </c>
      <c r="R37" s="80"/>
      <c r="S37" s="114" t="s">
        <v>26</v>
      </c>
      <c r="T37" s="114"/>
      <c r="U37" s="115"/>
      <c r="V37" s="162"/>
      <c r="W37" s="163"/>
      <c r="X37" s="163"/>
      <c r="Y37" s="163"/>
      <c r="Z37" s="164"/>
      <c r="AA37" s="53"/>
      <c r="AB37" s="73" t="s">
        <v>27</v>
      </c>
      <c r="AC37" s="131" t="s">
        <v>32</v>
      </c>
      <c r="AD37" s="161"/>
    </row>
    <row r="38" spans="1:30" s="1" customFormat="1" ht="16.149999999999999" customHeight="1">
      <c r="A38" s="177"/>
      <c r="B38" s="95">
        <v>8.3333333333333329E-2</v>
      </c>
      <c r="C38" s="16"/>
      <c r="D38" s="114" t="s">
        <v>95</v>
      </c>
      <c r="E38" s="114"/>
      <c r="F38" s="115"/>
      <c r="G38" s="19">
        <v>8.3333333333333329E-2</v>
      </c>
      <c r="H38" s="73" t="s">
        <v>27</v>
      </c>
      <c r="I38" s="182" t="s">
        <v>118</v>
      </c>
      <c r="J38" s="182"/>
      <c r="K38" s="183"/>
      <c r="L38" s="17">
        <v>0.4375</v>
      </c>
      <c r="M38" s="109"/>
      <c r="N38" s="114" t="s">
        <v>9</v>
      </c>
      <c r="O38" s="114"/>
      <c r="P38" s="115"/>
      <c r="Q38" s="19">
        <v>0.4375</v>
      </c>
      <c r="R38" s="80"/>
      <c r="S38" s="114" t="s">
        <v>17</v>
      </c>
      <c r="T38" s="114"/>
      <c r="U38" s="115"/>
      <c r="V38" s="162"/>
      <c r="W38" s="163"/>
      <c r="X38" s="163"/>
      <c r="Y38" s="163"/>
      <c r="Z38" s="164"/>
      <c r="AA38" s="54"/>
      <c r="AB38" s="79" t="s">
        <v>23</v>
      </c>
      <c r="AC38" s="131" t="s">
        <v>33</v>
      </c>
      <c r="AD38" s="161"/>
    </row>
    <row r="39" spans="1:30" s="1" customFormat="1" ht="16.149999999999999" customHeight="1">
      <c r="A39" s="177"/>
      <c r="B39" s="95">
        <v>0.125</v>
      </c>
      <c r="C39" s="85"/>
      <c r="D39" s="128" t="s">
        <v>74</v>
      </c>
      <c r="E39" s="128"/>
      <c r="F39" s="129"/>
      <c r="G39" s="19">
        <v>8.3333333333333329E-2</v>
      </c>
      <c r="H39" s="96"/>
      <c r="I39" s="114" t="s">
        <v>68</v>
      </c>
      <c r="J39" s="114"/>
      <c r="K39" s="115"/>
      <c r="L39" s="19">
        <v>8.3333333333333329E-2</v>
      </c>
      <c r="M39" s="87" t="s">
        <v>96</v>
      </c>
      <c r="N39" s="114" t="s">
        <v>113</v>
      </c>
      <c r="O39" s="114"/>
      <c r="P39" s="115"/>
      <c r="Q39" s="19">
        <v>8.3333333333333329E-2</v>
      </c>
      <c r="R39" s="85"/>
      <c r="S39" s="114" t="s">
        <v>61</v>
      </c>
      <c r="T39" s="114"/>
      <c r="U39" s="114"/>
      <c r="V39" s="162"/>
      <c r="W39" s="163"/>
      <c r="X39" s="163"/>
      <c r="Y39" s="163"/>
      <c r="Z39" s="164"/>
      <c r="AA39" s="23"/>
      <c r="AB39" s="110" t="s">
        <v>24</v>
      </c>
      <c r="AC39" s="131" t="s">
        <v>34</v>
      </c>
      <c r="AD39" s="161"/>
    </row>
    <row r="40" spans="1:30" s="1" customFormat="1" ht="16.149999999999999" customHeight="1">
      <c r="A40" s="177"/>
      <c r="B40" s="95"/>
      <c r="C40" s="85"/>
      <c r="D40" s="111"/>
      <c r="E40" s="111"/>
      <c r="F40" s="60"/>
      <c r="G40" s="61"/>
      <c r="H40" s="16"/>
      <c r="I40" s="114"/>
      <c r="J40" s="114"/>
      <c r="K40" s="115"/>
      <c r="L40" s="96"/>
      <c r="M40" s="96"/>
      <c r="N40" s="96"/>
      <c r="O40" s="96"/>
      <c r="P40" s="96"/>
      <c r="Q40" s="19">
        <v>8.3333333333333329E-2</v>
      </c>
      <c r="R40" s="85"/>
      <c r="S40" s="169" t="s">
        <v>114</v>
      </c>
      <c r="T40" s="169"/>
      <c r="U40" s="170"/>
      <c r="V40" s="162"/>
      <c r="W40" s="163"/>
      <c r="X40" s="163"/>
      <c r="Y40" s="163"/>
      <c r="Z40" s="164"/>
      <c r="AA40" s="88"/>
      <c r="AB40" s="112" t="s">
        <v>35</v>
      </c>
      <c r="AC40" s="131" t="s">
        <v>36</v>
      </c>
      <c r="AD40" s="161"/>
    </row>
    <row r="41" spans="1:30" s="1" customFormat="1" ht="16.149999999999999" customHeight="1" thickBot="1">
      <c r="A41" s="178"/>
      <c r="B41" s="113"/>
      <c r="C41" s="62"/>
      <c r="D41" s="63"/>
      <c r="E41" s="63"/>
      <c r="F41" s="63"/>
      <c r="G41" s="64"/>
      <c r="H41" s="65"/>
      <c r="I41" s="65"/>
      <c r="J41" s="65"/>
      <c r="K41" s="66"/>
      <c r="L41" s="67"/>
      <c r="M41" s="65"/>
      <c r="N41" s="65"/>
      <c r="O41" s="65"/>
      <c r="P41" s="66"/>
      <c r="Q41" s="68"/>
      <c r="R41" s="69"/>
      <c r="S41" s="160"/>
      <c r="T41" s="160"/>
      <c r="U41" s="70"/>
      <c r="V41" s="165"/>
      <c r="W41" s="166"/>
      <c r="X41" s="166"/>
      <c r="Y41" s="166"/>
      <c r="Z41" s="167"/>
      <c r="AA41" s="71"/>
      <c r="AB41" s="72" t="s">
        <v>40</v>
      </c>
      <c r="AC41" s="160" t="s">
        <v>28</v>
      </c>
      <c r="AD41" s="168"/>
    </row>
    <row r="42" spans="1:30" s="1" customFormat="1" ht="15" customHeight="1">
      <c r="A42" s="179" t="s">
        <v>103</v>
      </c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0"/>
      <c r="O42" s="180"/>
      <c r="P42" s="180"/>
      <c r="Q42" s="180"/>
      <c r="R42" s="180"/>
      <c r="S42" s="180"/>
      <c r="T42" s="180"/>
      <c r="U42" s="180"/>
      <c r="V42" s="180"/>
      <c r="W42" s="180"/>
      <c r="X42" s="180"/>
      <c r="Y42" s="180"/>
      <c r="Z42" s="180"/>
      <c r="AA42" s="180"/>
      <c r="AB42" s="180"/>
      <c r="AC42" s="180"/>
      <c r="AD42" s="181"/>
    </row>
    <row r="43" spans="1:30" s="1" customFormat="1" ht="15" customHeight="1">
      <c r="A43" s="179"/>
      <c r="B43" s="180"/>
      <c r="C43" s="180"/>
      <c r="D43" s="180"/>
      <c r="E43" s="180"/>
      <c r="F43" s="180"/>
      <c r="G43" s="180"/>
      <c r="H43" s="180"/>
      <c r="I43" s="180"/>
      <c r="J43" s="180"/>
      <c r="K43" s="180"/>
      <c r="L43" s="180"/>
      <c r="M43" s="180"/>
      <c r="N43" s="180"/>
      <c r="O43" s="180"/>
      <c r="P43" s="180"/>
      <c r="Q43" s="180"/>
      <c r="R43" s="180"/>
      <c r="S43" s="180"/>
      <c r="T43" s="180"/>
      <c r="U43" s="180"/>
      <c r="V43" s="180"/>
      <c r="W43" s="180"/>
      <c r="X43" s="180"/>
      <c r="Y43" s="180"/>
      <c r="Z43" s="180"/>
      <c r="AA43" s="180"/>
      <c r="AB43" s="180"/>
      <c r="AC43" s="180"/>
      <c r="AD43" s="181"/>
    </row>
    <row r="44" spans="1:30" s="1" customFormat="1" ht="15" customHeight="1">
      <c r="A44" s="171" t="s">
        <v>39</v>
      </c>
      <c r="B44" s="172"/>
      <c r="C44" s="172"/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72"/>
      <c r="AA44" s="172"/>
      <c r="AB44" s="172"/>
      <c r="AC44" s="172"/>
      <c r="AD44" s="173"/>
    </row>
    <row r="45" spans="1:30" ht="15" customHeight="1" thickBot="1">
      <c r="A45" s="174"/>
      <c r="B45" s="17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6"/>
    </row>
    <row r="63" spans="16325:16325" ht="15" customHeight="1">
      <c r="XCW63" s="4" t="s">
        <v>11</v>
      </c>
    </row>
  </sheetData>
  <mergeCells count="174">
    <mergeCell ref="N7:P7"/>
    <mergeCell ref="N39:P39"/>
    <mergeCell ref="I40:K40"/>
    <mergeCell ref="I38:K38"/>
    <mergeCell ref="I30:K30"/>
    <mergeCell ref="D14:F14"/>
    <mergeCell ref="I18:K18"/>
    <mergeCell ref="I20:K20"/>
    <mergeCell ref="I23:K23"/>
    <mergeCell ref="I39:K39"/>
    <mergeCell ref="D39:F39"/>
    <mergeCell ref="N19:P20"/>
    <mergeCell ref="N22:P22"/>
    <mergeCell ref="D21:F21"/>
    <mergeCell ref="D23:F23"/>
    <mergeCell ref="D18:F19"/>
    <mergeCell ref="N12:P12"/>
    <mergeCell ref="N13:P13"/>
    <mergeCell ref="I16:K16"/>
    <mergeCell ref="I14:K14"/>
    <mergeCell ref="I15:K15"/>
    <mergeCell ref="N36:P37"/>
    <mergeCell ref="D16:F16"/>
    <mergeCell ref="A44:AD45"/>
    <mergeCell ref="A31:A41"/>
    <mergeCell ref="A42:AD43"/>
    <mergeCell ref="AA31:AD32"/>
    <mergeCell ref="D32:F32"/>
    <mergeCell ref="D35:F35"/>
    <mergeCell ref="X33:Z33"/>
    <mergeCell ref="X31:Z31"/>
    <mergeCell ref="I31:K31"/>
    <mergeCell ref="D36:F36"/>
    <mergeCell ref="D37:F37"/>
    <mergeCell ref="AC38:AD38"/>
    <mergeCell ref="AC35:AD35"/>
    <mergeCell ref="AC36:AD36"/>
    <mergeCell ref="I35:K35"/>
    <mergeCell ref="I36:K36"/>
    <mergeCell ref="N31:P31"/>
    <mergeCell ref="I37:K37"/>
    <mergeCell ref="N38:P38"/>
    <mergeCell ref="D38:F38"/>
    <mergeCell ref="D31:F31"/>
    <mergeCell ref="X30:Z30"/>
    <mergeCell ref="X32:Z32"/>
    <mergeCell ref="S41:T41"/>
    <mergeCell ref="AC37:AD37"/>
    <mergeCell ref="N30:P30"/>
    <mergeCell ref="S30:U30"/>
    <mergeCell ref="S31:U31"/>
    <mergeCell ref="AC30:AD30"/>
    <mergeCell ref="V35:Z41"/>
    <mergeCell ref="AC39:AD39"/>
    <mergeCell ref="AC40:AD40"/>
    <mergeCell ref="AC41:AD41"/>
    <mergeCell ref="N35:P35"/>
    <mergeCell ref="S35:U35"/>
    <mergeCell ref="S36:U36"/>
    <mergeCell ref="S37:U37"/>
    <mergeCell ref="S38:U38"/>
    <mergeCell ref="S39:U39"/>
    <mergeCell ref="N32:P32"/>
    <mergeCell ref="S32:U32"/>
    <mergeCell ref="S40:U40"/>
    <mergeCell ref="AA1:AD1"/>
    <mergeCell ref="S3:U3"/>
    <mergeCell ref="X3:Z3"/>
    <mergeCell ref="AC3:AD3"/>
    <mergeCell ref="S4:U4"/>
    <mergeCell ref="X6:Z6"/>
    <mergeCell ref="S7:U7"/>
    <mergeCell ref="AC4:AD4"/>
    <mergeCell ref="S5:U5"/>
    <mergeCell ref="X5:Z5"/>
    <mergeCell ref="AA7:AD9"/>
    <mergeCell ref="S9:U9"/>
    <mergeCell ref="AC5:AD6"/>
    <mergeCell ref="V1:Z1"/>
    <mergeCell ref="X4:Z4"/>
    <mergeCell ref="X7:Z7"/>
    <mergeCell ref="X9:Z9"/>
    <mergeCell ref="X8:Z8"/>
    <mergeCell ref="A1:A30"/>
    <mergeCell ref="B1:F1"/>
    <mergeCell ref="G1:K1"/>
    <mergeCell ref="L1:P1"/>
    <mergeCell ref="Q1:U1"/>
    <mergeCell ref="I19:K19"/>
    <mergeCell ref="N16:P16"/>
    <mergeCell ref="D27:F27"/>
    <mergeCell ref="I27:K27"/>
    <mergeCell ref="D15:F15"/>
    <mergeCell ref="S8:U8"/>
    <mergeCell ref="N15:P15"/>
    <mergeCell ref="S15:U15"/>
    <mergeCell ref="I11:K11"/>
    <mergeCell ref="D22:F22"/>
    <mergeCell ref="D24:F24"/>
    <mergeCell ref="N18:P18"/>
    <mergeCell ref="I22:K22"/>
    <mergeCell ref="S6:U6"/>
    <mergeCell ref="D13:F13"/>
    <mergeCell ref="I13:K13"/>
    <mergeCell ref="D30:F30"/>
    <mergeCell ref="D25:F25"/>
    <mergeCell ref="S18:U18"/>
    <mergeCell ref="X14:Z14"/>
    <mergeCell ref="X15:Z15"/>
    <mergeCell ref="I12:K12"/>
    <mergeCell ref="S12:U12"/>
    <mergeCell ref="S13:U13"/>
    <mergeCell ref="X25:Z25"/>
    <mergeCell ref="S23:U23"/>
    <mergeCell ref="X19:Z19"/>
    <mergeCell ref="X24:Z24"/>
    <mergeCell ref="I25:K25"/>
    <mergeCell ref="X22:Z22"/>
    <mergeCell ref="N23:P23"/>
    <mergeCell ref="I21:K21"/>
    <mergeCell ref="S21:U21"/>
    <mergeCell ref="X20:Z20"/>
    <mergeCell ref="N24:P24"/>
    <mergeCell ref="S20:U20"/>
    <mergeCell ref="S19:U19"/>
    <mergeCell ref="X23:Z23"/>
    <mergeCell ref="AC11:AD11"/>
    <mergeCell ref="AC18:AD18"/>
    <mergeCell ref="AC28:AD28"/>
    <mergeCell ref="X12:Z12"/>
    <mergeCell ref="X18:Z18"/>
    <mergeCell ref="X21:Z21"/>
    <mergeCell ref="X29:Z29"/>
    <mergeCell ref="S16:U16"/>
    <mergeCell ref="N14:P14"/>
    <mergeCell ref="S14:U14"/>
    <mergeCell ref="AC21:AD21"/>
    <mergeCell ref="AC27:AD27"/>
    <mergeCell ref="X28:Z28"/>
    <mergeCell ref="N27:P27"/>
    <mergeCell ref="N28:P28"/>
    <mergeCell ref="X27:Z27"/>
    <mergeCell ref="AC29:AD29"/>
    <mergeCell ref="AA14:AD16"/>
    <mergeCell ref="AC12:AD12"/>
    <mergeCell ref="AA22:AD25"/>
    <mergeCell ref="AC19:AD19"/>
    <mergeCell ref="X11:Z11"/>
    <mergeCell ref="X16:Z16"/>
    <mergeCell ref="X13:Z13"/>
    <mergeCell ref="N3:P3"/>
    <mergeCell ref="N4:P4"/>
    <mergeCell ref="N5:P5"/>
    <mergeCell ref="N6:P6"/>
    <mergeCell ref="B3:F9"/>
    <mergeCell ref="G3:K9"/>
    <mergeCell ref="N29:P29"/>
    <mergeCell ref="S27:U27"/>
    <mergeCell ref="S28:U28"/>
    <mergeCell ref="S29:U29"/>
    <mergeCell ref="N11:P11"/>
    <mergeCell ref="D11:F11"/>
    <mergeCell ref="D12:F12"/>
    <mergeCell ref="N9:O9"/>
    <mergeCell ref="N8:O8"/>
    <mergeCell ref="D20:F20"/>
    <mergeCell ref="I28:K28"/>
    <mergeCell ref="D29:F29"/>
    <mergeCell ref="D28:F28"/>
    <mergeCell ref="I29:K29"/>
    <mergeCell ref="S25:U25"/>
    <mergeCell ref="S22:U22"/>
    <mergeCell ref="N21:P21"/>
    <mergeCell ref="S11:U11"/>
  </mergeCells>
  <phoneticPr fontId="1" type="noConversion"/>
  <printOptions horizontalCentered="1" verticalCentered="1"/>
  <pageMargins left="0" right="0" top="0" bottom="0" header="0.11811023622047245" footer="0.11811023622047245"/>
  <pageSetup paperSize="9" scale="74" orientation="landscape" r:id="rId1"/>
  <headerFooter alignWithMargins="0"/>
  <rowBreaks count="1" manualBreakCount="1">
    <brk id="45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具名範圍</vt:lpstr>
      </vt:variant>
      <vt:variant>
        <vt:i4>1</vt:i4>
      </vt:variant>
    </vt:vector>
  </HeadingPairs>
  <TitlesOfParts>
    <vt:vector size="2" baseType="lpstr">
      <vt:lpstr>Final (3)</vt:lpstr>
      <vt:lpstr>'Final (3)'!Print_Area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kit ming</dc:creator>
  <cp:lastModifiedBy>Chan</cp:lastModifiedBy>
  <cp:lastPrinted>2025-06-18T01:50:02Z</cp:lastPrinted>
  <dcterms:created xsi:type="dcterms:W3CDTF">2010-09-07T03:16:56Z</dcterms:created>
  <dcterms:modified xsi:type="dcterms:W3CDTF">2025-07-11T06:47:26Z</dcterms:modified>
</cp:coreProperties>
</file>